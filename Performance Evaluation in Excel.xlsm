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tables/table15.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1.xml" ContentType="application/vnd.ms-excel.controlproperties+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6.xml" ContentType="application/vnd.openxmlformats-officedocument.drawing+xml"/>
  <Override PartName="/xl/ctrlProps/ctrlProp2.xml" ContentType="application/vnd.ms-excel.controlproperties+xml"/>
  <Override PartName="/xl/tables/table16.xml" ContentType="application/vnd.openxmlformats-officedocument.spreadsheetml.table+xml"/>
  <Override PartName="/xl/slicers/slicer3.xml" ContentType="application/vnd.ms-excel.slicer+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trlProps/ctrlProp3.xml" ContentType="application/vnd.ms-excel.controlproperties+xml"/>
  <Override PartName="/xl/slicers/slicer5.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Ex3.xml" ContentType="application/vnd.ms-office.chartex+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Ex4.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dba875dffd3dcd1b/Desktop/Projects/Excel/"/>
    </mc:Choice>
  </mc:AlternateContent>
  <xr:revisionPtr revIDLastSave="10" documentId="14_{FC8101C0-0876-4CF2-9E81-C81D6A91CE1B}" xr6:coauthVersionLast="47" xr6:coauthVersionMax="47" xr10:uidLastSave="{DE0E8569-2745-4467-85C8-7363CE2B3B3E}"/>
  <bookViews>
    <workbookView xWindow="-120" yWindow="-120" windowWidth="29040" windowHeight="15720" tabRatio="688" xr2:uid="{E970D7D9-4334-4B9C-8F0C-1E30937F48EA}"/>
  </bookViews>
  <sheets>
    <sheet name="Raw Data" sheetId="1" r:id="rId1"/>
    <sheet name="Clean Data Table" sheetId="2" r:id="rId2"/>
    <sheet name="Pivot Tables" sheetId="3" r:id="rId3"/>
    <sheet name="IF'S" sheetId="4" r:id="rId4"/>
    <sheet name="LOOKUPS" sheetId="6" r:id="rId5"/>
    <sheet name="Statistical Analysis" sheetId="7" r:id="rId6"/>
    <sheet name="Forecast Sheet" sheetId="15" r:id="rId7"/>
    <sheet name="Macro" sheetId="16" r:id="rId8"/>
    <sheet name="VBA Code" sheetId="27" r:id="rId9"/>
    <sheet name="Pivot for Dashboard" sheetId="11" r:id="rId10"/>
    <sheet name="SALES DASHBOARD" sheetId="25" r:id="rId11"/>
  </sheets>
  <definedNames>
    <definedName name="_xlchart.v1.0" hidden="1">'Pivot for Dashboard'!$BA$5:$BA$14</definedName>
    <definedName name="_xlchart.v1.1" hidden="1">'Pivot for Dashboard'!$BB$5:$BB$14</definedName>
    <definedName name="_xlchart.v1.2" hidden="1">'Pivot for Dashboard'!$CQ$5:$CR$16</definedName>
    <definedName name="_xlchart.v1.3" hidden="1">'Pivot for Dashboard'!$CS$4</definedName>
    <definedName name="_xlchart.v1.4" hidden="1">'Pivot for Dashboard'!$CS$5:$CS$16</definedName>
    <definedName name="_xlchart.v1.5" hidden="1">'Pivot for Dashboard'!$CQ$5:$CR$16</definedName>
    <definedName name="_xlchart.v1.6" hidden="1">'Pivot for Dashboard'!$CS$4</definedName>
    <definedName name="_xlchart.v1.7" hidden="1">'Pivot for Dashboard'!$CS$5:$CS$16</definedName>
    <definedName name="_xlchart.v1.8" hidden="1">'Pivot for Dashboard'!$BA$5:$BA$14</definedName>
    <definedName name="_xlchart.v1.9" hidden="1">'Pivot for Dashboard'!$BB$5:$BB$14</definedName>
    <definedName name="Slicer_Country">#N/A</definedName>
    <definedName name="Slicer_Country1">#N/A</definedName>
    <definedName name="Slicer_Country2">#N/A</definedName>
    <definedName name="Slicer_Months__Order_Date">#N/A</definedName>
    <definedName name="Slicer_Years__Order_Date">#N/A</definedName>
    <definedName name="Slicer_Years__Order_Date1">#N/A</definedName>
  </definedNames>
  <calcPr calcId="181029"/>
  <pivotCaches>
    <pivotCache cacheId="0" r:id="rId12"/>
    <pivotCache cacheId="1" r:id="rId13"/>
    <pivotCache cacheId="2" r:id="rId14"/>
    <pivotCache cacheId="3" r:id="rId15"/>
  </pivotCaches>
  <extLst>
    <ext xmlns:x14="http://schemas.microsoft.com/office/spreadsheetml/2009/9/main" uri="{BBE1A952-AA13-448e-AADC-164F8A28A991}">
      <x14:slicerCaches>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2" i="6" l="1"/>
  <c r="I122" i="6"/>
  <c r="J122" i="6"/>
  <c r="AC9" i="11"/>
  <c r="AD9" i="11"/>
  <c r="AC10" i="11"/>
  <c r="AD10" i="11"/>
  <c r="AC11" i="11"/>
  <c r="AD11" i="11"/>
  <c r="AD8" i="11"/>
  <c r="AA4" i="11"/>
  <c r="AB4" i="11" s="1"/>
  <c r="AC4" i="11" s="1"/>
  <c r="AC8" i="11" s="1"/>
  <c r="K16" i="11"/>
  <c r="K15" i="11"/>
  <c r="K14" i="11"/>
  <c r="K13" i="11"/>
  <c r="K12" i="11"/>
  <c r="K11" i="11"/>
  <c r="K10" i="11"/>
  <c r="K9" i="11"/>
  <c r="K8" i="11"/>
  <c r="K7" i="11"/>
  <c r="K6" i="11"/>
  <c r="K5" i="11"/>
  <c r="F6" i="11"/>
  <c r="F5" i="11"/>
  <c r="C23" i="15"/>
  <c r="C24" i="15"/>
  <c r="C26" i="15"/>
  <c r="C27" i="15"/>
  <c r="D27" i="15"/>
  <c r="D28" i="15"/>
  <c r="C29" i="15"/>
  <c r="D29" i="15"/>
  <c r="D30" i="15"/>
  <c r="D23" i="15"/>
  <c r="D24" i="15"/>
  <c r="C25" i="15"/>
  <c r="D25" i="15"/>
  <c r="D26" i="15"/>
  <c r="C28" i="15"/>
  <c r="C30" i="15"/>
  <c r="I5" i="3"/>
  <c r="K5" i="3"/>
  <c r="C47" i="7" l="1"/>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67" i="6"/>
  <c r="I54" i="6"/>
  <c r="D58" i="6"/>
  <c r="E58" i="6"/>
  <c r="C58" i="6"/>
  <c r="G7" i="6"/>
  <c r="H7" i="6" s="1"/>
  <c r="I7" i="6" s="1"/>
  <c r="J7" i="6" s="1"/>
  <c r="G8" i="6"/>
  <c r="H8" i="6" s="1"/>
  <c r="I8" i="6" s="1"/>
  <c r="J8" i="6" s="1"/>
  <c r="G9" i="6"/>
  <c r="H9" i="6" s="1"/>
  <c r="I9" i="6" s="1"/>
  <c r="J9" i="6" s="1"/>
  <c r="G10" i="6"/>
  <c r="H10" i="6" s="1"/>
  <c r="I10" i="6" s="1"/>
  <c r="J10" i="6" s="1"/>
  <c r="G11" i="6"/>
  <c r="H11" i="6" s="1"/>
  <c r="I11" i="6" s="1"/>
  <c r="J11" i="6" s="1"/>
  <c r="G12" i="6"/>
  <c r="H12" i="6" s="1"/>
  <c r="I12" i="6" s="1"/>
  <c r="J12" i="6" s="1"/>
  <c r="G13" i="6"/>
  <c r="H13" i="6" s="1"/>
  <c r="I13" i="6" s="1"/>
  <c r="J13" i="6" s="1"/>
  <c r="G14" i="6"/>
  <c r="H14" i="6" s="1"/>
  <c r="I14" i="6" s="1"/>
  <c r="J14" i="6" s="1"/>
  <c r="G15" i="6"/>
  <c r="H15" i="6" s="1"/>
  <c r="I15" i="6" s="1"/>
  <c r="J15" i="6" s="1"/>
  <c r="G16" i="6"/>
  <c r="H16" i="6" s="1"/>
  <c r="I16" i="6" s="1"/>
  <c r="J16" i="6" s="1"/>
  <c r="G17" i="6"/>
  <c r="H17" i="6" s="1"/>
  <c r="I17" i="6" s="1"/>
  <c r="J17" i="6" s="1"/>
  <c r="G18" i="6"/>
  <c r="H18" i="6" s="1"/>
  <c r="I18" i="6" s="1"/>
  <c r="J18" i="6" s="1"/>
  <c r="G19" i="6"/>
  <c r="H19" i="6" s="1"/>
  <c r="I19" i="6" s="1"/>
  <c r="J19" i="6" s="1"/>
  <c r="G20" i="6"/>
  <c r="H20" i="6" s="1"/>
  <c r="I20" i="6" s="1"/>
  <c r="J20" i="6" s="1"/>
  <c r="G21" i="6"/>
  <c r="H21" i="6" s="1"/>
  <c r="I21" i="6" s="1"/>
  <c r="J21" i="6" s="1"/>
  <c r="G22" i="6"/>
  <c r="H22" i="6" s="1"/>
  <c r="I22" i="6" s="1"/>
  <c r="J22" i="6" s="1"/>
  <c r="G23" i="6"/>
  <c r="H23" i="6" s="1"/>
  <c r="I23" i="6" s="1"/>
  <c r="J23" i="6" s="1"/>
  <c r="G24" i="6"/>
  <c r="H24" i="6" s="1"/>
  <c r="I24" i="6" s="1"/>
  <c r="J24" i="6" s="1"/>
  <c r="G25" i="6"/>
  <c r="H25" i="6" s="1"/>
  <c r="I25" i="6" s="1"/>
  <c r="J25" i="6" s="1"/>
  <c r="G26" i="6"/>
  <c r="H26" i="6" s="1"/>
  <c r="I26" i="6" s="1"/>
  <c r="J26" i="6" s="1"/>
  <c r="G27" i="6"/>
  <c r="H27" i="6" s="1"/>
  <c r="I27" i="6" s="1"/>
  <c r="J27" i="6" s="1"/>
  <c r="G28" i="6"/>
  <c r="H28" i="6" s="1"/>
  <c r="I28" i="6" s="1"/>
  <c r="J28" i="6" s="1"/>
  <c r="G29" i="6"/>
  <c r="H29" i="6" s="1"/>
  <c r="I29" i="6" s="1"/>
  <c r="J29" i="6" s="1"/>
  <c r="G30" i="6"/>
  <c r="H30" i="6" s="1"/>
  <c r="I30" i="6" s="1"/>
  <c r="J30" i="6" s="1"/>
  <c r="G31" i="6"/>
  <c r="H31" i="6" s="1"/>
  <c r="I31" i="6" s="1"/>
  <c r="J31" i="6" s="1"/>
  <c r="G32" i="6"/>
  <c r="H32" i="6" s="1"/>
  <c r="I32" i="6" s="1"/>
  <c r="J32" i="6" s="1"/>
  <c r="G33" i="6"/>
  <c r="H33" i="6" s="1"/>
  <c r="I33" i="6" s="1"/>
  <c r="J33" i="6" s="1"/>
  <c r="G34" i="6"/>
  <c r="H34" i="6" s="1"/>
  <c r="I34" i="6" s="1"/>
  <c r="J34" i="6" s="1"/>
  <c r="G35" i="6"/>
  <c r="H35" i="6" s="1"/>
  <c r="I35" i="6" s="1"/>
  <c r="J35" i="6" s="1"/>
  <c r="G36" i="6"/>
  <c r="H36" i="6" s="1"/>
  <c r="I36" i="6" s="1"/>
  <c r="J36" i="6" s="1"/>
  <c r="G37" i="6"/>
  <c r="H37" i="6" s="1"/>
  <c r="I37" i="6" s="1"/>
  <c r="J37" i="6" s="1"/>
  <c r="G38" i="6"/>
  <c r="H38" i="6" s="1"/>
  <c r="I38" i="6" s="1"/>
  <c r="J38" i="6" s="1"/>
  <c r="G39" i="6"/>
  <c r="H39" i="6" s="1"/>
  <c r="I39" i="6" s="1"/>
  <c r="J39" i="6" s="1"/>
  <c r="G40" i="6"/>
  <c r="H40" i="6" s="1"/>
  <c r="I40" i="6" s="1"/>
  <c r="J40" i="6" s="1"/>
  <c r="G41" i="6"/>
  <c r="H41" i="6" s="1"/>
  <c r="I41" i="6" s="1"/>
  <c r="J41" i="6" s="1"/>
  <c r="G42" i="6"/>
  <c r="H42" i="6" s="1"/>
  <c r="I42" i="6" s="1"/>
  <c r="J42" i="6" s="1"/>
  <c r="G43" i="6"/>
  <c r="H43" i="6" s="1"/>
  <c r="I43" i="6" s="1"/>
  <c r="J43" i="6" s="1"/>
  <c r="G44" i="6"/>
  <c r="H44" i="6" s="1"/>
  <c r="I44" i="6" s="1"/>
  <c r="J44" i="6" s="1"/>
  <c r="G45" i="6"/>
  <c r="H45" i="6" s="1"/>
  <c r="I45" i="6" s="1"/>
  <c r="J45" i="6" s="1"/>
  <c r="G46" i="6"/>
  <c r="H46" i="6" s="1"/>
  <c r="I46" i="6" s="1"/>
  <c r="J46" i="6" s="1"/>
  <c r="G47" i="6"/>
  <c r="H47" i="6" s="1"/>
  <c r="I47" i="6" s="1"/>
  <c r="J47" i="6" s="1"/>
  <c r="G48" i="6"/>
  <c r="H48" i="6" s="1"/>
  <c r="I48" i="6" s="1"/>
  <c r="J48" i="6" s="1"/>
  <c r="G49" i="6"/>
  <c r="H49" i="6" s="1"/>
  <c r="I49" i="6" s="1"/>
  <c r="J49" i="6" s="1"/>
  <c r="P17" i="4"/>
  <c r="P18" i="4"/>
  <c r="P25" i="4"/>
  <c r="P26" i="4"/>
  <c r="P33" i="4"/>
  <c r="P34" i="4"/>
  <c r="P41" i="4"/>
  <c r="P42" i="4"/>
  <c r="P49" i="4"/>
  <c r="P50" i="4"/>
  <c r="N13" i="4"/>
  <c r="O13" i="4" s="1"/>
  <c r="N12" i="4"/>
  <c r="O12" i="4" s="1"/>
  <c r="N14" i="4"/>
  <c r="O14" i="4" s="1"/>
  <c r="N15" i="4"/>
  <c r="O15" i="4" s="1"/>
  <c r="N16" i="4"/>
  <c r="O16" i="4" s="1"/>
  <c r="N17" i="4"/>
  <c r="O17" i="4" s="1"/>
  <c r="N18" i="4"/>
  <c r="O18" i="4" s="1"/>
  <c r="N19" i="4"/>
  <c r="O19" i="4" s="1"/>
  <c r="N20" i="4"/>
  <c r="O20" i="4" s="1"/>
  <c r="N21" i="4"/>
  <c r="O21" i="4" s="1"/>
  <c r="N22" i="4"/>
  <c r="O22" i="4" s="1"/>
  <c r="N23" i="4"/>
  <c r="O23" i="4" s="1"/>
  <c r="N24" i="4"/>
  <c r="P24" i="4" s="1"/>
  <c r="N25" i="4"/>
  <c r="N26" i="4"/>
  <c r="N27" i="4"/>
  <c r="P27" i="4" s="1"/>
  <c r="N28" i="4"/>
  <c r="O28" i="4" s="1"/>
  <c r="N29" i="4"/>
  <c r="O29" i="4" s="1"/>
  <c r="N30" i="4"/>
  <c r="O30" i="4" s="1"/>
  <c r="N31" i="4"/>
  <c r="O31" i="4" s="1"/>
  <c r="N32" i="4"/>
  <c r="O32" i="4" s="1"/>
  <c r="N33" i="4"/>
  <c r="O33" i="4" s="1"/>
  <c r="N34" i="4"/>
  <c r="O34" i="4" s="1"/>
  <c r="N35" i="4"/>
  <c r="O35" i="4" s="1"/>
  <c r="N36" i="4"/>
  <c r="O36" i="4" s="1"/>
  <c r="N37" i="4"/>
  <c r="O37" i="4" s="1"/>
  <c r="N38" i="4"/>
  <c r="O38" i="4" s="1"/>
  <c r="N39" i="4"/>
  <c r="O39" i="4" s="1"/>
  <c r="N40" i="4"/>
  <c r="O40" i="4" s="1"/>
  <c r="N41" i="4"/>
  <c r="O41" i="4" s="1"/>
  <c r="N42" i="4"/>
  <c r="O42" i="4" s="1"/>
  <c r="N43" i="4"/>
  <c r="O43" i="4" s="1"/>
  <c r="N44" i="4"/>
  <c r="O44" i="4" s="1"/>
  <c r="N45" i="4"/>
  <c r="O45" i="4" s="1"/>
  <c r="N46" i="4"/>
  <c r="O46" i="4" s="1"/>
  <c r="N47" i="4"/>
  <c r="O47" i="4" s="1"/>
  <c r="N48" i="4"/>
  <c r="O48" i="4" s="1"/>
  <c r="N49" i="4"/>
  <c r="O49" i="4" s="1"/>
  <c r="N50" i="4"/>
  <c r="O50" i="4" s="1"/>
  <c r="N51" i="4"/>
  <c r="O51" i="4" s="1"/>
  <c r="N52" i="4"/>
  <c r="O52" i="4" s="1"/>
  <c r="N53" i="4"/>
  <c r="O53" i="4" s="1"/>
  <c r="N54" i="4"/>
  <c r="O54" i="4" s="1"/>
  <c r="N55" i="4"/>
  <c r="O55" i="4" s="1"/>
  <c r="M55"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12" i="4"/>
  <c r="K12" i="4"/>
  <c r="L15"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L12" i="4"/>
  <c r="L13" i="4"/>
  <c r="L14"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P51" i="4" l="1"/>
  <c r="P43" i="4"/>
  <c r="P35" i="4"/>
  <c r="P19" i="4"/>
  <c r="P48" i="4"/>
  <c r="P40" i="4"/>
  <c r="P32" i="4"/>
  <c r="P16" i="4"/>
  <c r="P55" i="4"/>
  <c r="P47" i="4"/>
  <c r="P39" i="4"/>
  <c r="P31" i="4"/>
  <c r="P23" i="4"/>
  <c r="P15" i="4"/>
  <c r="P54" i="4"/>
  <c r="P46" i="4"/>
  <c r="P38" i="4"/>
  <c r="P30" i="4"/>
  <c r="P22" i="4"/>
  <c r="P14" i="4"/>
  <c r="P53" i="4"/>
  <c r="P45" i="4"/>
  <c r="P37" i="4"/>
  <c r="P29" i="4"/>
  <c r="P21" i="4"/>
  <c r="P13" i="4"/>
  <c r="P52" i="4"/>
  <c r="P44" i="4"/>
  <c r="P36" i="4"/>
  <c r="P28" i="4"/>
  <c r="P20" i="4"/>
  <c r="P12" i="4"/>
  <c r="O27" i="4"/>
  <c r="O26" i="4"/>
  <c r="O25" i="4"/>
  <c r="O24" i="4"/>
</calcChain>
</file>

<file path=xl/sharedStrings.xml><?xml version="1.0" encoding="utf-8"?>
<sst xmlns="http://schemas.openxmlformats.org/spreadsheetml/2006/main" count="1508" uniqueCount="349">
  <si>
    <t>Order ID,Order Date,Customer ID,Customer Name,Age,Gender,Product,Category,Sales,Quantity,Profit,Region,Country,Channel,Sign-Up Date,Campaign Name,Campaign Start Date,Campaign End Date,Campaign Channel,Spend,Leads,Campaign Orders,Shipping Type,Payment Method,Frequency of Purchase</t>
  </si>
  <si>
    <t>1001,2022-01-05,C001,Alice Smith,28,Female,Laptop,Electronics,1200,1,240,North,USA,Online,2021-12-01,Winter Sale 2022,2022-01-01,2022-01-15,Email,5000,1500,100,Standard,Credit Card,5</t>
  </si>
  <si>
    <t>1002,2022-01-05,C002,Bob Johnson,35,Male,T-Shirt,Apparel,25,2,10,South,Canada,Offline,2021-11-10,New Year Promo 2022,2022-01-01,2022-01-07,Social Media,3000,1000,50,Express,Debit Card,3</t>
  </si>
  <si>
    <t>1003,2022-01-06,C003,Charlie Brown,42,Female,Headphones,Electronics,150,1,30,East,UK,Online,2021-12-20,Electronics Focus 2022,2022-01-10,2022-01-25,Google Ads,7000,2000,120,Standard,PayPal,7</t>
  </si>
  <si>
    <t>1004,2022-01-07,C001,Alice Smith,28,Female,Mouse,Electronics,30,1,5,North,USA,Online,2021-12-01,Winter Sale 2022,2022-01-01,2022-01-15,Email,5000,1500,100,Standard,Credit Card,5</t>
  </si>
  <si>
    <t>1005,2022-01-08,C004,Diana Miller,30,Male,Jeans,Apparel,60,1,20,West,Australia,Offline,2022-01-01,Apparel Blast 2022,2022-01-15,2022-01-30,Facebook Ads,4000,1200,70,Standard,Credit Card,2</t>
  </si>
  <si>
    <t>1006,2022-02-10,C002,Bob Johnson,35,Male,Keyboard,Electronics,75,1,15,South,Canada,Online,2021-11-10,February Tech Deals,2022-02-01,2022-02-15,Email,4500,1300,80,Standard,Debit Card,3</t>
  </si>
  <si>
    <t>1007,2022-02-12,C005,Eve Davis,25,Female,Dress,Apparel,100,1,40,East,UK,Online,2022-01-05,Winter Fashion Sale,2022-02-05,2022-02-20,Social Media,3500,1100,60,Express,Credit Card,4</t>
  </si>
  <si>
    <t>1008,2022-03-01,C003,Charlie Brown,42,Female,Monitor,Electronics,300,1,60,East,USA,Offline,2021-12-20,March Madness Sale,2022-03-01,2022-03-10,Google Ads,6000,1800,110,Standard,PayPal,7</t>
  </si>
  <si>
    <t>1009,2022-03-05,C001,Alice Smith,28,Female,Webcam,Electronics,45,1,10,North,Canada,Online,2021-12-01,Spring Tech Deals,2022-03-01,2022-03-15,Email,5500,1600,90,Standard,Credit Card,5</t>
  </si>
  <si>
    <t>1010,2022-04-15,C006,Frank White,38,Male,Sneakers,Footwear,80,1,25,West,Australia,Online,2022-01-08,April Footwear Promo,2022-04-10,2022-04-25,Facebook Ads,3800,1100,65,Standard,Debit Card,2</t>
  </si>
  <si>
    <t>1011,2022-05-20,C004,Diana Miller,30,Male,Socks,Apparel,10,3,3,West,UK,Offline,2022-01-01,May Day Deals,2022-05-01,2022-05-10,Email,2000,700,35,Standard,Credit Card,2</t>
  </si>
  <si>
    <t>1012,2022-06-01,C007,Grace Taylor,31,Female,Smartwatch,Electronics,250,1,50,North,USA,Online,2022-01-10,Summer Gadget Sale,2022-06-01,2022-06-15,Google Ads,6500,1900,115,Express,PayPal,6</t>
  </si>
  <si>
    <t>1013,2022-07-05,C005,Eve Davis,25,Female,Jacket,Apparel,120,1,45,East,Canada,Online,2022-01-05,Mid-Year Apparel,2022-07-01,2022-07-15,Social Media,4200,1300,75,Standard,Credit Card,4</t>
  </si>
  <si>
    <t>1014,2022-08-10,C008,Henry King,45,Male,Coffee Maker,Home Goods,70,1,18,South,UK,Online,2022-01-12,August Home Deals,2022-08-05,2022-08-20,Email,3000,900,45,Standard,Debit Card,3</t>
  </si>
  <si>
    <t>1015,2022-09-15,C009,Ivy Lee,29,Female,Blender,Home Goods,90,1,22,West,Australia,Offline,2022-01-15,September Kitchenware,2022-09-10,2022-09-25,Facebook Ads,2800,850,40,Standard,Credit Card,2</t>
  </si>
  <si>
    <t>1016,2022-10-20,C001,Alice Smith,28,Female,External Hard Drive,Electronics,80,1,16,North,USA,Online,2021-12-01,October Tech Fest,2022-10-15,2022-10-30,Google Ads,7200,2100,130,Standard,Credit Card,5</t>
  </si>
  <si>
    <t>1017,2022-11-01,C010,Jack Green,33,Male,Desk Lamp,Home Goods,35,1,8,East,Canada,Online,2022-01-18,November Home Decor,2022-11-01,2022-11-15,Email,2700,800,38,Express,PayPal,4</t>
  </si>
  <si>
    <t>1018,2022-12-05,C002,Bob Johnson,35,Male,Sweater,Apparel,50,1,15,South,UK,Online,2021-11-10,Holiday Apparel Sale,2022-12-01,2022-12-20,Social Media,5000,1600,95,Standard,Debit Card,3</t>
  </si>
  <si>
    <t>1019,2023-01-05,C003,Charlie Brown,42,Female,Tablet,Electronics,400,1,80,East,USA,Online,2021-12-20,Winter Sale 2023,2023-01-01,2023-01-15,Email,5000,1500,100,Standard,Credit Card,7</t>
  </si>
  <si>
    <t>1020,2023-01-23,C006,Frank White,38,Male,Running Shoes,Footwear,95,1,30,West,Australia,Offline,2022-01-08,New Year Promo 2023,2023-01-01,2023-01-07,Social Media,3000,1000,50,Express,Debit Card,2</t>
  </si>
  <si>
    <t>1021,2023-02-10,C001,Alice Smith,28,Female,Smart TV,Electronics,800,1,160,North,Canada,Online,2021-12-01,February Tech Deals 2023,2023-02-01,2023-02-15,Email,4500,1300,80,Standard,Credit Card,5</t>
  </si>
  <si>
    <t>1022,2023-03-15,C007,Grace Taylor,31,Female,Fitness Tracker,Electronics,120,1,25,North,UK,Online,2022-01-10,March Madness Sale 2023,2023-03-01,2023-03-10,Google Ads,6000,1800,110,Standard,PayPal,6</t>
  </si>
  <si>
    <t>1023,2023-04-20,C005,Eve Davis,25,Female,Summer Dress,Apparel,70,1,28,East,USA,Online,2022-01-05,April Fashion Sale 2023,2023-04-15,2023-04-30,Social Media,3500,1100,60,Express,Credit Card,4</t>
  </si>
  <si>
    <t>1024,2023-05-01,C008,Henry King,45,Male,Air Fryer,Home Goods,100,1,30,South,Canada,Online,2022-01-12,May Day Home Deals 2023,2023-05-01,2023-05-10,Email,2000,700,35,Standard,Debit Card,3</t>
  </si>
  <si>
    <t>1025,2023-06-05,C009,Ivy Lee,29,Female,Running Shorts,Apparel,40,2,15,West,UK,Offline,2022-01-15,June Sports Gear 2023,2023-06-01,2023-06-15,Facebook Ads,2800,850,40,Standard,Credit Card,2</t>
  </si>
  <si>
    <t>1026,2023-07-10,C010,Jack Green,33,Male,Smart Speaker,Electronics,90,1,20,East,Australia,Online,2022-01-18,Summer Gadget Sale 2023,2023-07-01,2023-07-15,Google Ads,6500,1900,115,Express,PayPal,4</t>
  </si>
  <si>
    <t>1027,2023-08-15,C001,Alice Smith,28,Female,Gaming Headset,Electronics,180,1,40,North,USA,Online,2021-12-01,August Gaming Deals 2023,2023-08-10,2023-08-25,Email,5500,1600,90,Standard,Credit Card,5</t>
  </si>
  <si>
    <t>1028,2023-09-20,C002,Bob Johnson,35,Male,Winter Coat,Apparel,150,1,60,South,Canada,Online,2021-11-10,Fall Fashion 2023,2023-09-15,2023-09-30,Social Media,4000,1200,70,Standard,Debit Card,3</t>
  </si>
  <si>
    <t>1029,2023-10-25,C003,Charlie Brown,42,Female,Robot Vacuum,Home Goods,350,1,70,East,UK,Online,2021-12-20,October Home Tech 2023,2023-10-20,2023-10-31,Google Ads,7200,2100,130,Express,PayPal,7</t>
  </si>
  <si>
    <t>1030,2023-11-01,C004,Diana Miller,30,Male,Boots,Footwear,110,1,35,West,Australia,Offline,2022-01-01,November Footwear Promo 2023,2023-11-01,2023-11-15,Facebook Ads,3800,1100,65,Standard,Credit Card,2</t>
  </si>
  <si>
    <t>1031,2023-12-05,C005,Eve Davis,25,Female,Christmas Decor,Home Goods,50,3,15,East,USA,Online,2022-01-05,Holiday Decor Sale 2023,2023-12-01,2023-12-20,Email,2700,800,38,Standard,Credit Card,4</t>
  </si>
  <si>
    <t>1032,2024-01-05,C006,Frank White,38,Male,New Laptop Model,Electronics,1300,1,260,West,Canada,Online,2022-01-08,Winter Sale 2024,2024-01-01,2024-01-15,Email,5200,1600,105,Standard,Credit Card,2</t>
  </si>
  <si>
    <t>1033,2024-01-10,C007,Grace Taylor,31,Female,Wireless Earbuds,Electronics,180,1,35,North,UK,Online,2022-01-10,New Year Gadget Promo 2024,2024-01-01,2024-01-07,Social Media,3200,1100,55,Express,PayPal,6</t>
  </si>
  <si>
    <t>1034,2024-02-15,C008,Henry King,45,Male,Smart Thermostat,Home Goods,150,1,40,South,USA,Online,2022-01-12,February Home Tech 2024,2024-02-01,2024-02-15,Google Ads,6200,1900,125,Standard,Debit Card,3</t>
  </si>
  <si>
    <t>1035,2024-03-20,C009,Ivy Lee,29,Female,Spring Jacket,Apparel,130,1,50,West,Canada,Offline,2022-01-15,March Fashion Sale 2024,2024-03-15,2024-03-30,Facebook Ads,4200,1300,75,Standard,Credit Card,2</t>
  </si>
  <si>
    <t>1036,2024-04-25,C010,Jack Green,33,Male,Portable Speaker,Electronics,70,1,15,East,UK,Online,2022-01-18,April Sound Deals 2024,2024-04-20,2024-04-30,Email,2800,850,42,Standard,PayPal,4</t>
  </si>
  <si>
    <t>1037,2024-05-01,C001,Alice Smith,28,Female,E-Reader,Electronics,100,1,20,North,Australia,Online,2021-12-01,May Reading Promo 2024,2024-05-01,2024-05-10,Social Media,2200,750,37,Express,Credit Card,5</t>
  </si>
  <si>
    <t>1038,2024-06-10,C002,Bob Johnson,35,Male,Camping Tent,Outdoor,200,1,50,South,USA,Offline,2021-11-10,June Outdoor Gear 2024,2024-06-05,2024-06-20,Google Ads,5800,1700,100,Standard,Debit Card,3</t>
  </si>
  <si>
    <t>1039,2024-07-15,C003,Charlie Brown,42,Female,Smart Scale,Home Goods,60,1,12,East,Canada,Online,2021-12-20,July Health Tech 2024,2024-07-10,2024-07-25,Email,3000,900,45,Standard,PayPal,7</t>
  </si>
  <si>
    <t>1040,2024-08-20,C004,Diana Miller,30,Male,Backpack,Apparel,80,1,25,West,UK,Online,2022-01-01,August Back-to-School 2024,2024-08-15,2024-08-30,Facebook Ads,3500,1000,55,Standard,Credit Card,2</t>
  </si>
  <si>
    <t>1041,2024-09-25,C005,Eve Davis,25,Female,Autumn Scarf,Apparel,20,2,8,East,Australia,Online,2022-01-05,September Fall Fashion 2024,2024-09-20,2024-09-30,Email,2500,700,30,Express,Credit Card,4</t>
  </si>
  <si>
    <t>1042,2024-10-30,C006,Frank White,38,Male,Gaming Monitor,Electronics,450,1,90,West,USA,Online,2022-01-08,October Gaming Fest 2024,2024-10-25,2024-10-31,Google Ads,7500,2200,140,Standard,Debit Card,2</t>
  </si>
  <si>
    <t>1043,2024-11-05,C007,Grace Taylor,31,Female,Smart Plug,Home Goods,25,4,10,North,Canada,Online,2022-01-10,November Smart Home 2024,2024-11-01,2024-11-15,Email,2900,880,40,Standard,PayPal,6</t>
  </si>
  <si>
    <t>1044,2024-12-10,C008,Henry King,45,Male,Winter Gloves,Apparel,30,2,10,South,UK,Offline,2022-01-12,Holiday Warmth Sale 2024,2024-12-05,2024-12-20,Social Media,5200,1700,100,Express,Debit Card,3</t>
  </si>
  <si>
    <t>Order ID</t>
  </si>
  <si>
    <t>Order Date</t>
  </si>
  <si>
    <t>Customer ID</t>
  </si>
  <si>
    <t>Customer Name</t>
  </si>
  <si>
    <t>Age</t>
  </si>
  <si>
    <t>Gender</t>
  </si>
  <si>
    <t>Product</t>
  </si>
  <si>
    <t>Category</t>
  </si>
  <si>
    <t>Sales</t>
  </si>
  <si>
    <t>Quantity</t>
  </si>
  <si>
    <t>Profit</t>
  </si>
  <si>
    <t>Region</t>
  </si>
  <si>
    <t>Country</t>
  </si>
  <si>
    <t>Channel</t>
  </si>
  <si>
    <t>Sign-Up Date</t>
  </si>
  <si>
    <t>Campaign Name</t>
  </si>
  <si>
    <t>Campaign Start Date</t>
  </si>
  <si>
    <t>Campaign End Date</t>
  </si>
  <si>
    <t>Campaign Channel</t>
  </si>
  <si>
    <t>Spend</t>
  </si>
  <si>
    <t>Leads</t>
  </si>
  <si>
    <t>Campaign Orders</t>
  </si>
  <si>
    <t>Shipping Type</t>
  </si>
  <si>
    <t>Payment Method</t>
  </si>
  <si>
    <t>Frequency of Purchase</t>
  </si>
  <si>
    <t>C001</t>
  </si>
  <si>
    <t>Alice Smith</t>
  </si>
  <si>
    <t>Female</t>
  </si>
  <si>
    <t>Laptop</t>
  </si>
  <si>
    <t>Electronics</t>
  </si>
  <si>
    <t>North</t>
  </si>
  <si>
    <t>USA</t>
  </si>
  <si>
    <t>Online</t>
  </si>
  <si>
    <t>Winter Sale 2022</t>
  </si>
  <si>
    <t>Email</t>
  </si>
  <si>
    <t>Standard</t>
  </si>
  <si>
    <t>Credit Card</t>
  </si>
  <si>
    <t>C002</t>
  </si>
  <si>
    <t>Bob Johnson</t>
  </si>
  <si>
    <t>Male</t>
  </si>
  <si>
    <t>T-Shirt</t>
  </si>
  <si>
    <t>Apparel</t>
  </si>
  <si>
    <t>South</t>
  </si>
  <si>
    <t>Canada</t>
  </si>
  <si>
    <t>Offline</t>
  </si>
  <si>
    <t>New Year Promo 2022</t>
  </si>
  <si>
    <t>Social Media</t>
  </si>
  <si>
    <t>Express</t>
  </si>
  <si>
    <t>Debit Card</t>
  </si>
  <si>
    <t>C003</t>
  </si>
  <si>
    <t>Charlie Brown</t>
  </si>
  <si>
    <t>Headphones</t>
  </si>
  <si>
    <t>East</t>
  </si>
  <si>
    <t>UK</t>
  </si>
  <si>
    <t>Electronics Focus 2022</t>
  </si>
  <si>
    <t>Google Ads</t>
  </si>
  <si>
    <t>PayPal</t>
  </si>
  <si>
    <t>Mouse</t>
  </si>
  <si>
    <t>C004</t>
  </si>
  <si>
    <t>Diana Miller</t>
  </si>
  <si>
    <t>Jeans</t>
  </si>
  <si>
    <t>West</t>
  </si>
  <si>
    <t>Australia</t>
  </si>
  <si>
    <t>Apparel Blast 2022</t>
  </si>
  <si>
    <t>Facebook Ads</t>
  </si>
  <si>
    <t>Keyboard</t>
  </si>
  <si>
    <t>February Tech Deals</t>
  </si>
  <si>
    <t>C005</t>
  </si>
  <si>
    <t>Eve Davis</t>
  </si>
  <si>
    <t>Dress</t>
  </si>
  <si>
    <t>Winter Fashion Sale</t>
  </si>
  <si>
    <t>Monitor</t>
  </si>
  <si>
    <t>March Madness Sale</t>
  </si>
  <si>
    <t>Webcam</t>
  </si>
  <si>
    <t>Spring Tech Deals</t>
  </si>
  <si>
    <t>C006</t>
  </si>
  <si>
    <t>Frank White</t>
  </si>
  <si>
    <t>Sneakers</t>
  </si>
  <si>
    <t>Footwear</t>
  </si>
  <si>
    <t>April Footwear Promo</t>
  </si>
  <si>
    <t>Socks</t>
  </si>
  <si>
    <t>May Day Deals</t>
  </si>
  <si>
    <t>C007</t>
  </si>
  <si>
    <t>Grace Taylor</t>
  </si>
  <si>
    <t>Smartwatch</t>
  </si>
  <si>
    <t>Summer Gadget Sale</t>
  </si>
  <si>
    <t>Jacket</t>
  </si>
  <si>
    <t>Mid-Year Apparel</t>
  </si>
  <si>
    <t>C008</t>
  </si>
  <si>
    <t>Henry King</t>
  </si>
  <si>
    <t>Coffee Maker</t>
  </si>
  <si>
    <t>Home Goods</t>
  </si>
  <si>
    <t>August Home Deals</t>
  </si>
  <si>
    <t>C009</t>
  </si>
  <si>
    <t>Ivy Lee</t>
  </si>
  <si>
    <t>Blender</t>
  </si>
  <si>
    <t>September Kitchenware</t>
  </si>
  <si>
    <t>External Hard Drive</t>
  </si>
  <si>
    <t>October Tech Fest</t>
  </si>
  <si>
    <t>C010</t>
  </si>
  <si>
    <t>Jack Green</t>
  </si>
  <si>
    <t>Desk Lamp</t>
  </si>
  <si>
    <t>November Home Decor</t>
  </si>
  <si>
    <t>Sweater</t>
  </si>
  <si>
    <t>Holiday Apparel Sale</t>
  </si>
  <si>
    <t>Tablet</t>
  </si>
  <si>
    <t>Winter Sale 2023</t>
  </si>
  <si>
    <t>Running Shoes</t>
  </si>
  <si>
    <t>New Year Promo 2023</t>
  </si>
  <si>
    <t>Smart TV</t>
  </si>
  <si>
    <t>February Tech Deals 2023</t>
  </si>
  <si>
    <t>Fitness Tracker</t>
  </si>
  <si>
    <t>March Madness Sale 2023</t>
  </si>
  <si>
    <t>Summer Dress</t>
  </si>
  <si>
    <t>April Fashion Sale 2023</t>
  </si>
  <si>
    <t>Air Fryer</t>
  </si>
  <si>
    <t>May Day Home Deals 2023</t>
  </si>
  <si>
    <t>Running Shorts</t>
  </si>
  <si>
    <t>June Sports Gear 2023</t>
  </si>
  <si>
    <t>Smart Speaker</t>
  </si>
  <si>
    <t>Summer Gadget Sale 2023</t>
  </si>
  <si>
    <t>Gaming Headset</t>
  </si>
  <si>
    <t>August Gaming Deals 2023</t>
  </si>
  <si>
    <t>Winter Coat</t>
  </si>
  <si>
    <t>Fall Fashion 2023</t>
  </si>
  <si>
    <t>Robot Vacuum</t>
  </si>
  <si>
    <t>October Home Tech 2023</t>
  </si>
  <si>
    <t>Boots</t>
  </si>
  <si>
    <t>November Footwear Promo 2023</t>
  </si>
  <si>
    <t>Christmas Decor</t>
  </si>
  <si>
    <t>Holiday Decor Sale 2023</t>
  </si>
  <si>
    <t>New Laptop Model</t>
  </si>
  <si>
    <t>Winter Sale 2024</t>
  </si>
  <si>
    <t>Wireless Earbuds</t>
  </si>
  <si>
    <t>New Year Gadget Promo 2024</t>
  </si>
  <si>
    <t>Smart Thermostat</t>
  </si>
  <si>
    <t>February Home Tech 2024</t>
  </si>
  <si>
    <t>Spring Jacket</t>
  </si>
  <si>
    <t>March Fashion Sale 2024</t>
  </si>
  <si>
    <t>Portable Speaker</t>
  </si>
  <si>
    <t>April Sound Deals 2024</t>
  </si>
  <si>
    <t>E-Reader</t>
  </si>
  <si>
    <t>May Reading Promo 2024</t>
  </si>
  <si>
    <t>Camping Tent</t>
  </si>
  <si>
    <t>Outdoor</t>
  </si>
  <si>
    <t>June Outdoor Gear 2024</t>
  </si>
  <si>
    <t>Smart Scale</t>
  </si>
  <si>
    <t>July Health Tech 2024</t>
  </si>
  <si>
    <t>Backpack</t>
  </si>
  <si>
    <t>August Back-to-School 2024</t>
  </si>
  <si>
    <t>Autumn Scarf</t>
  </si>
  <si>
    <t>September Fall Fashion 2024</t>
  </si>
  <si>
    <t>Gaming Monitor</t>
  </si>
  <si>
    <t>October Gaming Fest 2024</t>
  </si>
  <si>
    <t>Smart Plug</t>
  </si>
  <si>
    <t>November Smart Home 2024</t>
  </si>
  <si>
    <t>Winter Gloves</t>
  </si>
  <si>
    <t>Holiday Warmth Sale 2024</t>
  </si>
  <si>
    <t>Sum of Sales</t>
  </si>
  <si>
    <t>Sum of Profit</t>
  </si>
  <si>
    <t>Average of Sales2</t>
  </si>
  <si>
    <t>Average of Profit2</t>
  </si>
  <si>
    <t>Max of Sales2</t>
  </si>
  <si>
    <t>Min of Profit2</t>
  </si>
  <si>
    <t>Task-01: Find out the total sales &amp; profit, average sales &amp; profit, max sales and mini profit using Pivot Tables:</t>
  </si>
  <si>
    <t>Row Labels</t>
  </si>
  <si>
    <t>Grand Total</t>
  </si>
  <si>
    <t>2022</t>
  </si>
  <si>
    <t>2023</t>
  </si>
  <si>
    <t>2024</t>
  </si>
  <si>
    <t>Column Labels</t>
  </si>
  <si>
    <t>Total Sum of Sales</t>
  </si>
  <si>
    <t>Total Sum of Profit</t>
  </si>
  <si>
    <t xml:space="preserve">Task-02: Task-02: What are the quarterly and annual sales and profit trends for each product category, broken down by country, over the three-year period? Identify the top 3 performing categories each year. </t>
  </si>
  <si>
    <t xml:space="preserve">Task-03: Task-03: identify the top 5 products and top 5 customers contributing most to total sales and profit over the entire period. How has this ranking changed year-over-year? </t>
  </si>
  <si>
    <t>Years (Order Date)</t>
  </si>
  <si>
    <t>Task-04: Create a new column to flag customers as 'High Value' if their total Sales exceed $150 within the dataset, otherwise 'Standard Value'. How many customers fall into each category?</t>
  </si>
  <si>
    <t>Customers name</t>
  </si>
  <si>
    <t>Task-04</t>
  </si>
  <si>
    <t>Task-05</t>
  </si>
  <si>
    <t>Task-05: What was the total Sales generated specifically from the 'Online' Channel across all years? How many Orders were placed through the 'Offline' Channel?</t>
  </si>
  <si>
    <t>Task-06: For each customer, calculate their Tenure in months or years from their Sign-Up Date to the latest Order Date in the dataset (or current date). Which customers have been with us the longest?</t>
  </si>
  <si>
    <t>Task-07: What is the average Frequency of Purchase for customers aged between 30-40 who primarily purchase items from the 'Apparel' Category</t>
  </si>
  <si>
    <t>TOOLS: IF, SUMIF, COUNTIF, DATEDIF, SUMIFS, COUNTIFS</t>
  </si>
  <si>
    <t>High Value</t>
  </si>
  <si>
    <t>standard Value</t>
  </si>
  <si>
    <t>Sum of Quantity</t>
  </si>
  <si>
    <t>Count of Customers name</t>
  </si>
  <si>
    <t>Task-06</t>
  </si>
  <si>
    <t>Task-7.1</t>
  </si>
  <si>
    <t>Task-7.2</t>
  </si>
  <si>
    <t>Task-7.3(Final Answer)</t>
  </si>
  <si>
    <t>Sales Min</t>
  </si>
  <si>
    <t>Discount %</t>
  </si>
  <si>
    <t>Column1</t>
  </si>
  <si>
    <t>Discount % To Be Calculated</t>
  </si>
  <si>
    <t>Total Sales</t>
  </si>
  <si>
    <t>Discount Value</t>
  </si>
  <si>
    <t>Revenue</t>
  </si>
  <si>
    <r>
      <t xml:space="preserve">Task-09: Imagine you have a separate summary table where Campaign Names are listed vertically, and target metrics for different quarters are listed horizontally. Use </t>
    </r>
    <r>
      <rPr>
        <b/>
        <sz val="14"/>
        <color theme="1"/>
        <rFont val="Times New Roman"/>
        <family val="1"/>
      </rPr>
      <t>HLOOKUP</t>
    </r>
    <r>
      <rPr>
        <sz val="14"/>
        <color theme="1"/>
        <rFont val="Times New Roman"/>
        <family val="1"/>
      </rPr>
      <t xml:space="preserve"> to dynamically retrieve the target Leads for a specific Campaign channel for 2022-2024.</t>
    </r>
  </si>
  <si>
    <t>Categories</t>
  </si>
  <si>
    <t>Channel Name</t>
  </si>
  <si>
    <t>Campaign Order</t>
  </si>
  <si>
    <r>
      <t xml:space="preserve">Task-10: Find the Spend (use </t>
    </r>
    <r>
      <rPr>
        <b/>
        <sz val="14"/>
        <color theme="1"/>
        <rFont val="Times New Roman"/>
        <family val="1"/>
      </rPr>
      <t>INDEX-MATCH</t>
    </r>
    <r>
      <rPr>
        <sz val="14"/>
        <color theme="1"/>
        <rFont val="Times New Roman"/>
        <family val="1"/>
      </rPr>
      <t>) of the Marketing Campaign orde to spend.</t>
    </r>
  </si>
  <si>
    <r>
      <t xml:space="preserve">Task-08: Analyze the Sales data. Assuming there's a tiered discount structure where customers get 5% off for total sales between $100-$499, 10% for $500-$999, and 15% for $1000+, use </t>
    </r>
    <r>
      <rPr>
        <b/>
        <sz val="14"/>
        <color theme="1"/>
        <rFont val="Times New Roman"/>
        <family val="1"/>
      </rPr>
      <t>VLOOKUP and ROI</t>
    </r>
    <r>
      <rPr>
        <sz val="14"/>
        <color theme="1"/>
        <rFont val="Times New Roman"/>
        <family val="1"/>
      </rPr>
      <t xml:space="preserve"> with an approximate match to determine the applicable discount percentage for each Order ID's total Sales. Then, calculate the adjusted Revenue after applying this discount.</t>
    </r>
  </si>
  <si>
    <t>ROI (%)</t>
  </si>
  <si>
    <t>Month</t>
  </si>
  <si>
    <t>Mean</t>
  </si>
  <si>
    <t>Standard Error</t>
  </si>
  <si>
    <t>Median</t>
  </si>
  <si>
    <t>Mode</t>
  </si>
  <si>
    <t>Standard Deviation</t>
  </si>
  <si>
    <t>Sample Variance</t>
  </si>
  <si>
    <t>Kurtosis</t>
  </si>
  <si>
    <t>Skewness</t>
  </si>
  <si>
    <t>Range</t>
  </si>
  <si>
    <t>Minimum</t>
  </si>
  <si>
    <t>Maximum</t>
  </si>
  <si>
    <t>Sum</t>
  </si>
  <si>
    <t>Count</t>
  </si>
  <si>
    <t>Profit Analysis</t>
  </si>
  <si>
    <t>Confidence Level(95.0%)</t>
  </si>
  <si>
    <t>Elements</t>
  </si>
  <si>
    <t>Numbers</t>
  </si>
  <si>
    <t>Lower</t>
  </si>
  <si>
    <t>Upper</t>
  </si>
  <si>
    <t>Intervals</t>
  </si>
  <si>
    <t>(1-30)</t>
  </si>
  <si>
    <t>(31-60)</t>
  </si>
  <si>
    <t>(61-90)</t>
  </si>
  <si>
    <t>(90-120)</t>
  </si>
  <si>
    <t>(121-150)</t>
  </si>
  <si>
    <t>(151-180)</t>
  </si>
  <si>
    <t>(181-210)</t>
  </si>
  <si>
    <t>(211-240)</t>
  </si>
  <si>
    <t>(241-270)</t>
  </si>
  <si>
    <t>More</t>
  </si>
  <si>
    <t>Frequency</t>
  </si>
  <si>
    <t>Values</t>
  </si>
  <si>
    <t>Count of Profit</t>
  </si>
  <si>
    <t>Average of Profit</t>
  </si>
  <si>
    <t>Max of Profit</t>
  </si>
  <si>
    <t>Min of Profit</t>
  </si>
  <si>
    <t>StdDev of Profit</t>
  </si>
  <si>
    <t>Var of Profit</t>
  </si>
  <si>
    <t>Jan</t>
  </si>
  <si>
    <t>Feb</t>
  </si>
  <si>
    <t>Jun</t>
  </si>
  <si>
    <t>Apr</t>
  </si>
  <si>
    <t>Aug</t>
  </si>
  <si>
    <t>Oct</t>
  </si>
  <si>
    <t>Dec</t>
  </si>
  <si>
    <t>3-22</t>
  </si>
  <si>
    <t>23-42</t>
  </si>
  <si>
    <t>43-62</t>
  </si>
  <si>
    <t>143-162</t>
  </si>
  <si>
    <t>243-262</t>
  </si>
  <si>
    <t>Forecast(Sales)</t>
  </si>
  <si>
    <t>Confidence Interval(Sales)</t>
  </si>
  <si>
    <t>Last Name</t>
  </si>
  <si>
    <t>Alice</t>
  </si>
  <si>
    <t>Smith</t>
  </si>
  <si>
    <t>Bob</t>
  </si>
  <si>
    <t>Johnson</t>
  </si>
  <si>
    <t>Charlie</t>
  </si>
  <si>
    <t>Brown</t>
  </si>
  <si>
    <t>Diana</t>
  </si>
  <si>
    <t>Miller</t>
  </si>
  <si>
    <t>Eve</t>
  </si>
  <si>
    <t>Davis</t>
  </si>
  <si>
    <t>Frank</t>
  </si>
  <si>
    <t>White</t>
  </si>
  <si>
    <t>Grace</t>
  </si>
  <si>
    <t>Taylor</t>
  </si>
  <si>
    <t>Henry</t>
  </si>
  <si>
    <t>King</t>
  </si>
  <si>
    <t>Ivy</t>
  </si>
  <si>
    <t>Lee</t>
  </si>
  <si>
    <t>Jack</t>
  </si>
  <si>
    <t>Green</t>
  </si>
  <si>
    <t xml:space="preserve">Profit Percentage </t>
  </si>
  <si>
    <t>Sales and Profit Ratio:</t>
  </si>
  <si>
    <t>Mar</t>
  </si>
  <si>
    <t>May</t>
  </si>
  <si>
    <t>Sep</t>
  </si>
  <si>
    <t>Jul</t>
  </si>
  <si>
    <t>Nov</t>
  </si>
  <si>
    <t>PROFIT(%)</t>
  </si>
  <si>
    <t>Total</t>
  </si>
  <si>
    <t>Yr 2022</t>
  </si>
  <si>
    <t>YR 2023</t>
  </si>
  <si>
    <t>Yr 2023</t>
  </si>
  <si>
    <t>Yr 2024</t>
  </si>
  <si>
    <t>First Name of Customer</t>
  </si>
  <si>
    <t>(All)</t>
  </si>
  <si>
    <r>
      <t xml:space="preserve">Task-11: Find the Customer ID using </t>
    </r>
    <r>
      <rPr>
        <b/>
        <sz val="14"/>
        <color theme="1"/>
        <rFont val="Times New Roman"/>
        <family val="1"/>
      </rPr>
      <t xml:space="preserve">XLOOKUP: </t>
    </r>
  </si>
  <si>
    <t>#VALUE!</t>
  </si>
  <si>
    <t>[ Prepared by- MD. PARVES ALI | m.parves1998@gmail.com ]</t>
  </si>
  <si>
    <r>
      <rPr>
        <b/>
        <sz val="20"/>
        <color theme="1"/>
        <rFont val="Calibri"/>
        <family val="2"/>
        <scheme val="minor"/>
      </rPr>
      <t xml:space="preserve">For Details: Read this PDF </t>
    </r>
    <r>
      <rPr>
        <sz val="11"/>
        <color theme="1"/>
        <rFont val="Calibri"/>
        <family val="2"/>
        <scheme val="minor"/>
      </rPr>
      <t>https://drive.google.com/drive/u/0/folders/1I5HxI9AlCwclYQU3mpTyfuqJRMESg2tv</t>
    </r>
  </si>
  <si>
    <t>63-82</t>
  </si>
  <si>
    <t>83-102</t>
  </si>
  <si>
    <t>223-242</t>
  </si>
  <si>
    <t xml:space="preserve">Sub FormatProfitData()
    ' This macro formats the 'Profit' columns (C and K) with conditional formatting.
    ' It highlights values below a certain threshold with a light red fill and dark red text.
    Dim ws As Worksheet
    Set ws = ThisWorkbook.Sheets("Pivot &amp; VBA") ' Change "Pivot &amp; VBA" to your sheet name if different
    ' Call the sub-routine to clear existing conditional formatting first
    Call ClearProfitConditionalFormatting(ws)
    ' --- Conditional Formatting for Column C (Profit) ---
    With ws.Range("C:C") ' Applies to the entire column C
        .FormatConditions.Add Type:=xlCellValue, Operator:=xlLess, Formula1:="50" ' Adjust threshold as needed
        With .FormatConditions(1)
            .Interior.Color = RGB(255, 199, 206) ' Light Red Fill
            .Font.Color = RGB(156, 0, 6)       ' Dark Red Text
            .StopIfTrue = False
        End With
    End With
    ' --- Conditional Formatting for Column K (Profit) ---
    With ws.Range("K:K") ' Applies to the entire column K
        .FormatConditions.Add Type:=xlCellValue, Operator:=xlLess, Formula1:="50" ' Adjust threshold as needed
        With .FormatConditions(1)
            .Interior.Color = RGB(255, 199, 206) ' Light Red Fill
            .Font.Color = RGB(156, 0, 6)       ' Dark Red Text
            .StopIfTrue = False
        End With
    End With
    MsgBox "Data formatting applied successfully!", vbInformation, "Formatting Complete"
End Sub
Sub ClearProfitConditionalFormatting(ByVal targetSheet As Worksheet)
    ' This sub-routine clears all conditional formatting from columns C and K
    ' on the specified worksheet.
    On Error Resume Next ' Handle cases where there might be no conditional formatting
    targetSheet.Columns("C").FormatConditions.Delete
    targetSheet.Columns("K").FormatConditions.Delete
    On Error GoTo 0 ' Re-enable error handling
End Sub
</t>
  </si>
  <si>
    <t xml:space="preserve">Formula is 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</si>
</sst>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0\%"/>
    <numFmt numFmtId="165" formatCode="&quot;$&quot;#,##0"/>
    <numFmt numFmtId="166" formatCode="_(* #,##0_);_(* \(#,##0\);_(* &quot;-&quot;??_);_(@_)"/>
    <numFmt numFmtId="167" formatCode="0.0%"/>
  </numFmts>
  <fonts count="22" x14ac:knownFonts="1">
    <font>
      <sz val="11"/>
      <color theme="1"/>
      <name val="Calibri"/>
      <family val="2"/>
      <scheme val="minor"/>
    </font>
    <font>
      <b/>
      <sz val="11"/>
      <color theme="1"/>
      <name val="Calibri"/>
      <family val="2"/>
      <scheme val="minor"/>
    </font>
    <font>
      <sz val="12"/>
      <color theme="1"/>
      <name val="Calibri"/>
      <family val="2"/>
      <scheme val="minor"/>
    </font>
    <font>
      <b/>
      <sz val="14"/>
      <color theme="1"/>
      <name val="Times New Roman"/>
      <family val="1"/>
    </font>
    <font>
      <b/>
      <sz val="12"/>
      <color theme="1"/>
      <name val="Times New Roman"/>
      <family val="1"/>
    </font>
    <font>
      <sz val="11"/>
      <color theme="0"/>
      <name val="Calibri"/>
      <family val="2"/>
      <scheme val="minor"/>
    </font>
    <font>
      <sz val="12"/>
      <color theme="1"/>
      <name val="Times New Roman"/>
      <family val="1"/>
    </font>
    <font>
      <sz val="8"/>
      <name val="Calibri"/>
      <family val="2"/>
      <scheme val="minor"/>
    </font>
    <font>
      <b/>
      <sz val="11"/>
      <color theme="1"/>
      <name val="Times New Roman"/>
      <family val="1"/>
    </font>
    <font>
      <sz val="11"/>
      <color theme="1"/>
      <name val="Calibri"/>
      <family val="2"/>
      <scheme val="minor"/>
    </font>
    <font>
      <sz val="11"/>
      <color rgb="FF9C0006"/>
      <name val="Calibri"/>
      <family val="2"/>
      <scheme val="minor"/>
    </font>
    <font>
      <b/>
      <sz val="11"/>
      <color theme="0"/>
      <name val="Calibri"/>
      <family val="2"/>
      <scheme val="minor"/>
    </font>
    <font>
      <sz val="11"/>
      <name val="Calibri"/>
      <family val="2"/>
      <scheme val="minor"/>
    </font>
    <font>
      <sz val="14"/>
      <color theme="1"/>
      <name val="Times New Roman"/>
      <family val="1"/>
    </font>
    <font>
      <b/>
      <sz val="12"/>
      <color theme="1"/>
      <name val="Calibri"/>
      <family val="2"/>
      <scheme val="minor"/>
    </font>
    <font>
      <i/>
      <sz val="11"/>
      <color theme="1"/>
      <name val="Calibri"/>
      <family val="2"/>
      <scheme val="minor"/>
    </font>
    <font>
      <b/>
      <sz val="14"/>
      <color theme="1"/>
      <name val="Calibri"/>
      <family val="2"/>
      <scheme val="minor"/>
    </font>
    <font>
      <sz val="11"/>
      <color rgb="FF000000"/>
      <name val="Calibri"/>
      <family val="2"/>
    </font>
    <font>
      <b/>
      <sz val="20"/>
      <color theme="1"/>
      <name val="Comic Sans MS"/>
      <family val="4"/>
    </font>
    <font>
      <u/>
      <sz val="11"/>
      <color theme="10"/>
      <name val="Calibri"/>
      <family val="2"/>
      <scheme val="minor"/>
    </font>
    <font>
      <b/>
      <u/>
      <sz val="12"/>
      <color rgb="FF7030A0"/>
      <name val="Cambria"/>
      <family val="1"/>
    </font>
    <font>
      <b/>
      <sz val="20"/>
      <color theme="1"/>
      <name val="Calibri"/>
      <family val="2"/>
      <scheme val="minor"/>
    </font>
  </fonts>
  <fills count="9">
    <fill>
      <patternFill patternType="none"/>
    </fill>
    <fill>
      <patternFill patternType="gray125"/>
    </fill>
    <fill>
      <patternFill patternType="solid">
        <fgColor theme="4"/>
      </patternFill>
    </fill>
    <fill>
      <patternFill patternType="solid">
        <fgColor theme="4" tint="0.79998168889431442"/>
        <bgColor theme="4" tint="0.79998168889431442"/>
      </patternFill>
    </fill>
    <fill>
      <patternFill patternType="solid">
        <fgColor rgb="FFFFC7CE"/>
      </patternFill>
    </fill>
    <fill>
      <patternFill patternType="solid">
        <fgColor theme="4"/>
        <bgColor indexed="64"/>
      </patternFill>
    </fill>
    <fill>
      <patternFill patternType="solid">
        <fgColor theme="4"/>
        <bgColor theme="4"/>
      </patternFill>
    </fill>
    <fill>
      <patternFill patternType="solid">
        <fgColor theme="0"/>
        <bgColor indexed="64"/>
      </patternFill>
    </fill>
    <fill>
      <patternFill patternType="solid">
        <fgColor theme="5"/>
      </patternFill>
    </fill>
  </fills>
  <borders count="9">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top style="thin">
        <color theme="4" tint="0.39997558519241921"/>
      </top>
      <bottom style="thin">
        <color theme="9" tint="0.39997558519241921"/>
      </bottom>
      <diagonal/>
    </border>
    <border>
      <left/>
      <right/>
      <top/>
      <bottom style="thin">
        <color theme="9" tint="0.39997558519241921"/>
      </bottom>
      <diagonal/>
    </border>
    <border>
      <left/>
      <right/>
      <top/>
      <bottom style="thin">
        <color theme="4" tint="0.39997558519241921"/>
      </bottom>
      <diagonal/>
    </border>
    <border>
      <left/>
      <right/>
      <top/>
      <bottom style="thin">
        <color indexed="64"/>
      </bottom>
      <diagonal/>
    </border>
  </borders>
  <cellStyleXfs count="7">
    <xf numFmtId="0" fontId="0" fillId="0" borderId="0"/>
    <xf numFmtId="0" fontId="5" fillId="2" borderId="0" applyNumberFormat="0" applyBorder="0" applyAlignment="0" applyProtection="0"/>
    <xf numFmtId="9"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5" fillId="8" borderId="0" applyNumberFormat="0" applyBorder="0" applyAlignment="0" applyProtection="0"/>
    <xf numFmtId="0" fontId="19" fillId="0" borderId="0" applyNumberFormat="0" applyFill="0" applyBorder="0" applyAlignment="0" applyProtection="0"/>
  </cellStyleXfs>
  <cellXfs count="59">
    <xf numFmtId="0" fontId="0" fillId="0" borderId="0" xfId="0"/>
    <xf numFmtId="0" fontId="2" fillId="0" borderId="0" xfId="0" applyFont="1"/>
    <xf numFmtId="14" fontId="0" fillId="0" borderId="0" xfId="0" applyNumberFormat="1"/>
    <xf numFmtId="0" fontId="3" fillId="0" borderId="0" xfId="0" applyFont="1"/>
    <xf numFmtId="0" fontId="4"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xf numFmtId="0" fontId="0" fillId="0" borderId="2" xfId="0" applyBorder="1"/>
    <xf numFmtId="0" fontId="0" fillId="0" borderId="3" xfId="0" applyBorder="1"/>
    <xf numFmtId="0" fontId="0" fillId="3" borderId="1" xfId="0" applyFill="1" applyBorder="1"/>
    <xf numFmtId="0" fontId="0" fillId="3" borderId="4" xfId="0" applyFill="1" applyBorder="1"/>
    <xf numFmtId="0" fontId="0" fillId="0" borderId="1" xfId="0" applyBorder="1"/>
    <xf numFmtId="0" fontId="0" fillId="0" borderId="4" xfId="0" applyBorder="1"/>
    <xf numFmtId="0" fontId="5" fillId="2" borderId="1" xfId="1" applyBorder="1"/>
    <xf numFmtId="0" fontId="5" fillId="2" borderId="4" xfId="1" applyBorder="1"/>
    <xf numFmtId="0" fontId="5" fillId="2" borderId="0" xfId="1" applyBorder="1"/>
    <xf numFmtId="0" fontId="0" fillId="3" borderId="0" xfId="0" applyFill="1"/>
    <xf numFmtId="0" fontId="8" fillId="0" borderId="0" xfId="0" applyFont="1" applyAlignment="1">
      <alignment vertical="center"/>
    </xf>
    <xf numFmtId="0" fontId="6" fillId="0" borderId="0" xfId="0" applyFont="1" applyAlignment="1">
      <alignment vertical="center"/>
    </xf>
    <xf numFmtId="0" fontId="6" fillId="0" borderId="0" xfId="0" applyFont="1"/>
    <xf numFmtId="0" fontId="5" fillId="2" borderId="0" xfId="1"/>
    <xf numFmtId="0" fontId="12" fillId="4" borderId="0" xfId="3" applyFont="1"/>
    <xf numFmtId="0" fontId="12" fillId="4" borderId="0" xfId="3" applyNumberFormat="1" applyFont="1"/>
    <xf numFmtId="0" fontId="13" fillId="0" borderId="0" xfId="0" applyFont="1"/>
    <xf numFmtId="9" fontId="6" fillId="0" borderId="0" xfId="0" applyNumberFormat="1" applyFont="1"/>
    <xf numFmtId="0" fontId="0" fillId="3" borderId="5" xfId="0" applyFill="1" applyBorder="1"/>
    <xf numFmtId="0" fontId="0" fillId="0" borderId="5" xfId="0" applyBorder="1"/>
    <xf numFmtId="0" fontId="11" fillId="2" borderId="6" xfId="1" applyFont="1" applyBorder="1"/>
    <xf numFmtId="0" fontId="11" fillId="5" borderId="6" xfId="1" applyFont="1" applyFill="1" applyBorder="1"/>
    <xf numFmtId="9" fontId="0" fillId="3" borderId="0" xfId="2" applyFont="1" applyFill="1" applyBorder="1"/>
    <xf numFmtId="0" fontId="0" fillId="3" borderId="2" xfId="0" applyFill="1" applyBorder="1"/>
    <xf numFmtId="0" fontId="11" fillId="6" borderId="7" xfId="0" applyFont="1" applyFill="1" applyBorder="1"/>
    <xf numFmtId="0" fontId="11" fillId="6" borderId="2" xfId="0" applyFont="1" applyFill="1" applyBorder="1"/>
    <xf numFmtId="0" fontId="14" fillId="0" borderId="0" xfId="0" applyFont="1"/>
    <xf numFmtId="0" fontId="4" fillId="0" borderId="8" xfId="0" applyFont="1" applyBorder="1" applyAlignment="1">
      <alignment horizontal="centerContinuous"/>
    </xf>
    <xf numFmtId="0" fontId="15" fillId="0" borderId="8" xfId="0" applyFont="1" applyBorder="1" applyAlignment="1">
      <alignment horizontal="centerContinuous"/>
    </xf>
    <xf numFmtId="0" fontId="15" fillId="0" borderId="8" xfId="0" applyFont="1" applyBorder="1" applyAlignment="1">
      <alignment horizontal="center"/>
    </xf>
    <xf numFmtId="10" fontId="0" fillId="0" borderId="0" xfId="0" applyNumberFormat="1"/>
    <xf numFmtId="0" fontId="16" fillId="0" borderId="0" xfId="0" applyFont="1"/>
    <xf numFmtId="164" fontId="0" fillId="0" borderId="0" xfId="0" applyNumberFormat="1"/>
    <xf numFmtId="165" fontId="0" fillId="0" borderId="0" xfId="0" applyNumberFormat="1"/>
    <xf numFmtId="0" fontId="0" fillId="0" borderId="0" xfId="0" applyAlignment="1">
      <alignment horizontal="right"/>
    </xf>
    <xf numFmtId="9" fontId="0" fillId="0" borderId="0" xfId="2" applyFont="1"/>
    <xf numFmtId="166" fontId="0" fillId="0" borderId="0" xfId="4" applyNumberFormat="1" applyFont="1"/>
    <xf numFmtId="166" fontId="0" fillId="0" borderId="0" xfId="0" applyNumberFormat="1"/>
    <xf numFmtId="167" fontId="0" fillId="0" borderId="0" xfId="0" applyNumberFormat="1"/>
    <xf numFmtId="9" fontId="0" fillId="0" borderId="0" xfId="0" applyNumberFormat="1"/>
    <xf numFmtId="0" fontId="1" fillId="0" borderId="7" xfId="0" applyFont="1" applyBorder="1"/>
    <xf numFmtId="0" fontId="5" fillId="2" borderId="7" xfId="1" applyBorder="1"/>
    <xf numFmtId="0" fontId="0" fillId="0" borderId="0" xfId="0" applyAlignment="1">
      <alignment horizontal="center"/>
    </xf>
    <xf numFmtId="0" fontId="0" fillId="7" borderId="0" xfId="0" applyFill="1"/>
    <xf numFmtId="0" fontId="18" fillId="7" borderId="0" xfId="0" applyFont="1" applyFill="1"/>
    <xf numFmtId="0" fontId="5" fillId="8" borderId="0" xfId="5"/>
    <xf numFmtId="0" fontId="19" fillId="0" borderId="0" xfId="6" applyAlignment="1">
      <alignment horizontal="center" vertical="center"/>
    </xf>
    <xf numFmtId="0" fontId="20" fillId="0" borderId="0" xfId="0" applyFont="1" applyAlignment="1">
      <alignment horizontal="justify" vertical="center"/>
    </xf>
    <xf numFmtId="0" fontId="18" fillId="0" borderId="0" xfId="0" applyFont="1"/>
    <xf numFmtId="0" fontId="0" fillId="0" borderId="0" xfId="0" applyAlignment="1">
      <alignment wrapText="1"/>
    </xf>
  </cellXfs>
  <cellStyles count="7">
    <cellStyle name="Accent1" xfId="1" builtinId="29"/>
    <cellStyle name="Accent2" xfId="5" builtinId="33"/>
    <cellStyle name="Bad" xfId="3" builtinId="27"/>
    <cellStyle name="Comma" xfId="4" builtinId="3"/>
    <cellStyle name="Hyperlink" xfId="6" builtinId="8"/>
    <cellStyle name="Normal" xfId="0" builtinId="0"/>
    <cellStyle name="Percent" xfId="2" builtinId="5"/>
  </cellStyles>
  <dxfs count="89">
    <dxf>
      <numFmt numFmtId="166" formatCode="_(* #,##0_);_(* \(#,##0\);_(* &quot;-&quot;??_);_(@_)"/>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border diagonalUp="0" diagonalDown="0" outline="0">
        <left/>
        <right/>
        <top/>
        <bottom style="thin">
          <color theme="4" tint="0.39997558519241921"/>
        </bottom>
      </border>
    </dxf>
    <dxf>
      <border outline="0">
        <bottom style="thin">
          <color theme="4" tint="0.39997558519241921"/>
        </bottom>
      </border>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3" formatCode="0%"/>
    </dxf>
    <dxf>
      <numFmt numFmtId="166" formatCode="_(* #,##0_);_(* \(#,##0\);_(* &quot;-&quot;??_);_(@_)"/>
    </dxf>
    <dxf>
      <numFmt numFmtId="166" formatCode="_(* #,##0_);_(* \(#,##0\);_(* &quot;-&quot;??_);_(@_)"/>
    </dxf>
    <dxf>
      <numFmt numFmtId="167" formatCode="0.0%"/>
    </dxf>
    <dxf>
      <numFmt numFmtId="165" formatCode="&quot;$&quot;#,##0"/>
    </dxf>
    <dxf>
      <numFmt numFmtId="168" formatCode="&quot;$&quot;#,##0.0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numFmt numFmtId="19" formatCode="m/d/yyyy"/>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border outline="0">
        <top style="medium">
          <color indexed="64"/>
        </top>
        <bottom style="medium">
          <color indexed="64"/>
        </bottom>
      </border>
    </dxf>
    <dxf>
      <border outline="0">
        <bottom style="thin">
          <color indexed="64"/>
        </bottom>
      </border>
    </dxf>
    <dxf>
      <font>
        <b val="0"/>
        <i/>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fill>
        <patternFill patternType="none">
          <fgColor indexed="64"/>
          <bgColor indexed="65"/>
        </patternFill>
      </fill>
      <alignment horizontal="general" vertical="bottom" textRotation="0" wrapText="0" indent="0" justifyLastLine="0" shrinkToFit="0" readingOrder="0"/>
    </dxf>
    <dxf>
      <border outline="0">
        <top style="medium">
          <color indexed="64"/>
        </top>
        <bottom style="medium">
          <color indexed="64"/>
        </bottom>
      </border>
    </dxf>
    <dxf>
      <font>
        <b val="0"/>
        <i val="0"/>
        <strike val="0"/>
        <condense val="0"/>
        <extend val="0"/>
        <outline val="0"/>
        <shadow val="0"/>
        <u val="none"/>
        <vertAlign val="baseline"/>
        <sz val="12"/>
        <color theme="1"/>
        <name val="Times New Roman"/>
        <family val="1"/>
        <scheme val="none"/>
      </font>
      <fill>
        <patternFill patternType="none">
          <fgColor indexed="64"/>
          <bgColor indexed="65"/>
        </patternFill>
      </fill>
      <alignment horizontal="general" vertical="bottom"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outline="0">
        <left/>
        <right/>
        <top style="thin">
          <color theme="4" tint="0.39997558519241921"/>
        </top>
        <bottom style="thin">
          <color theme="9" tint="0.39997558519241921"/>
        </bottom>
      </border>
    </dxf>
    <dxf>
      <border outline="0">
        <top style="thin">
          <color theme="4"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theme="1"/>
        <name val="Times New Roman"/>
        <family val="1"/>
        <scheme val="none"/>
      </font>
      <numFmt numFmtId="13" formatCode="0%"/>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color rgb="FF006100"/>
      </font>
      <fill>
        <patternFill>
          <bgColor rgb="FFC6EFCE"/>
        </patternFill>
      </fil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numFmt numFmtId="19" formatCode="m/d/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ill>
        <patternFill patternType="none">
          <fgColor indexed="64"/>
          <bgColor indexed="65"/>
        </patternFill>
      </fill>
    </dxf>
    <dxf>
      <border outline="0">
        <left style="thin">
          <color theme="4" tint="0.39997558519241921"/>
        </left>
      </border>
    </dxf>
    <dxf>
      <font>
        <color rgb="FF006100"/>
      </font>
      <fill>
        <patternFill>
          <bgColor rgb="FFC6EFCE"/>
        </patternFill>
      </fill>
    </dxf>
    <dxf>
      <font>
        <sz val="11"/>
      </font>
    </dxf>
    <dxf>
      <font>
        <sz val="12"/>
      </font>
    </dxf>
    <dxf>
      <font>
        <sz val="12"/>
      </font>
    </dxf>
    <dxf>
      <font>
        <sz val="12"/>
      </font>
    </dxf>
    <dxf>
      <font>
        <sz val="12"/>
      </font>
    </dxf>
    <dxf>
      <font>
        <sz val="12"/>
      </font>
    </dxf>
    <dxf>
      <font>
        <sz val="12"/>
      </font>
    </dxf>
    <dxf>
      <numFmt numFmtId="19" formatCode="m/d/yyyy"/>
    </dxf>
    <dxf>
      <numFmt numFmtId="19" formatCode="m/d/yyyy"/>
    </dxf>
    <dxf>
      <numFmt numFmtId="19" formatCode="m/d/yyyy"/>
    </dxf>
    <dxf>
      <numFmt numFmtId="19" formatCode="m/d/yyyy"/>
    </dxf>
    <dxf>
      <numFmt numFmtId="0" formatCode="General"/>
    </dxf>
    <dxf>
      <font>
        <b/>
        <i val="0"/>
        <sz val="10"/>
        <name val="Comic Sans MS"/>
        <family val="4"/>
        <scheme val="none"/>
      </font>
      <border diagonalUp="0" diagonalDown="0">
        <left/>
        <right/>
        <top/>
        <bottom/>
        <vertical/>
        <horizontal/>
      </border>
    </dxf>
    <dxf>
      <font>
        <b/>
        <i val="0"/>
        <sz val="10"/>
        <color theme="1"/>
        <name val="Comic Sans MS"/>
        <family val="4"/>
        <scheme val="none"/>
      </font>
      <border diagonalUp="0" diagonalDown="0">
        <left/>
        <right/>
        <top/>
        <bottom/>
        <vertical/>
        <horizontal/>
      </border>
    </dxf>
  </dxfs>
  <tableStyles count="1" defaultTableStyle="TableStyleMedium2" defaultPivotStyle="PivotStyleLight16">
    <tableStyle name="DASHBOARD" pivot="0" table="0" count="10" xr9:uid="{2917615C-D070-4B03-8464-AF4B51CA88EC}">
      <tableStyleElement type="wholeTable" dxfId="88"/>
      <tableStyleElement type="headerRow" dxfId="8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3.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r>
              <a:rPr lang="en-US"/>
              <a:t>Profit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2"/>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'Statistical Analysis'!$P$4:$P$12</c:f>
              <c:strCache>
                <c:ptCount val="9"/>
                <c:pt idx="0">
                  <c:v>60</c:v>
                </c:pt>
                <c:pt idx="1">
                  <c:v>90</c:v>
                </c:pt>
                <c:pt idx="2">
                  <c:v>120</c:v>
                </c:pt>
                <c:pt idx="3">
                  <c:v>150</c:v>
                </c:pt>
                <c:pt idx="4">
                  <c:v>180</c:v>
                </c:pt>
                <c:pt idx="5">
                  <c:v>210</c:v>
                </c:pt>
                <c:pt idx="6">
                  <c:v>240</c:v>
                </c:pt>
                <c:pt idx="7">
                  <c:v>270</c:v>
                </c:pt>
                <c:pt idx="8">
                  <c:v>More</c:v>
                </c:pt>
              </c:strCache>
            </c:strRef>
          </c:cat>
          <c:val>
            <c:numRef>
              <c:f>'Statistical Analysis'!$Q$4:$Q$12</c:f>
              <c:numCache>
                <c:formatCode>General</c:formatCode>
                <c:ptCount val="9"/>
                <c:pt idx="0">
                  <c:v>38</c:v>
                </c:pt>
                <c:pt idx="1">
                  <c:v>3</c:v>
                </c:pt>
                <c:pt idx="2">
                  <c:v>0</c:v>
                </c:pt>
                <c:pt idx="3">
                  <c:v>0</c:v>
                </c:pt>
                <c:pt idx="4">
                  <c:v>1</c:v>
                </c:pt>
                <c:pt idx="5">
                  <c:v>0</c:v>
                </c:pt>
                <c:pt idx="6">
                  <c:v>0</c:v>
                </c:pt>
                <c:pt idx="7">
                  <c:v>1</c:v>
                </c:pt>
                <c:pt idx="8">
                  <c:v>0</c:v>
                </c:pt>
              </c:numCache>
            </c:numRef>
          </c:val>
          <c:extLst>
            <c:ext xmlns:c16="http://schemas.microsoft.com/office/drawing/2014/chart" uri="{C3380CC4-5D6E-409C-BE32-E72D297353CC}">
              <c16:uniqueId val="{00000001-4900-4030-ADA7-35FFFFC2B9C2}"/>
            </c:ext>
          </c:extLst>
        </c:ser>
        <c:dLbls>
          <c:showLegendKey val="0"/>
          <c:showVal val="0"/>
          <c:showCatName val="0"/>
          <c:showSerName val="0"/>
          <c:showPercent val="0"/>
          <c:showBubbleSize val="0"/>
        </c:dLbls>
        <c:gapWidth val="219"/>
        <c:overlap val="-27"/>
        <c:axId val="364722896"/>
        <c:axId val="364722176"/>
      </c:barChart>
      <c:catAx>
        <c:axId val="364722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accent2"/>
                    </a:solidFill>
                    <a:latin typeface="+mn-lt"/>
                    <a:ea typeface="+mn-ea"/>
                    <a:cs typeface="+mn-cs"/>
                  </a:defRPr>
                </a:pPr>
                <a:r>
                  <a:rPr lang="en-US"/>
                  <a:t>30</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accent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crossAx val="364722176"/>
        <c:crosses val="autoZero"/>
        <c:auto val="1"/>
        <c:lblAlgn val="ctr"/>
        <c:lblOffset val="100"/>
        <c:noMultiLvlLbl val="0"/>
      </c:catAx>
      <c:valAx>
        <c:axId val="364722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accent2"/>
                    </a:solidFill>
                    <a:latin typeface="+mn-lt"/>
                    <a:ea typeface="+mn-ea"/>
                    <a:cs typeface="+mn-cs"/>
                  </a:defRPr>
                </a:pPr>
                <a:r>
                  <a:rPr lang="en-US"/>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crossAx val="36472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accent2"/>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Excel.xlsx.xlsm]Statistical Analysis!PivotTable3</c:name>
    <c:fmtId val="3"/>
  </c:pivotSource>
  <c:chart>
    <c:title>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'Statistical Analysis'!$H$32</c:f>
              <c:strCache>
                <c:ptCount val="1"/>
                <c:pt idx="0">
                  <c:v>Total</c:v>
                </c:pt>
              </c:strCache>
            </c:strRef>
          </c:tx>
          <c:spPr>
            <a:solidFill>
              <a:schemeClr val="accent1"/>
            </a:solidFill>
            <a:ln>
              <a:noFill/>
            </a:ln>
            <a:effectLst/>
          </c:spPr>
          <c:invertIfNegative val="0"/>
          <c:cat>
            <c:strRef>
              <c:f>'Statistical Analysis'!$G$33:$G$41</c:f>
              <c:strCache>
                <c:ptCount val="8"/>
                <c:pt idx="0">
                  <c:v>3-22</c:v>
                </c:pt>
                <c:pt idx="1">
                  <c:v>23-42</c:v>
                </c:pt>
                <c:pt idx="2">
                  <c:v>43-62</c:v>
                </c:pt>
                <c:pt idx="3">
                  <c:v>63-82</c:v>
                </c:pt>
                <c:pt idx="4">
                  <c:v>83-102</c:v>
                </c:pt>
                <c:pt idx="5">
                  <c:v>143-162</c:v>
                </c:pt>
                <c:pt idx="6">
                  <c:v>223-242</c:v>
                </c:pt>
                <c:pt idx="7">
                  <c:v>243-262</c:v>
                </c:pt>
              </c:strCache>
            </c:strRef>
          </c:cat>
          <c:val>
            <c:numRef>
              <c:f>'Statistical Analysis'!$H$33:$H$41</c:f>
              <c:numCache>
                <c:formatCode>0.00%</c:formatCode>
                <c:ptCount val="8"/>
                <c:pt idx="0">
                  <c:v>0.45454545454545453</c:v>
                </c:pt>
                <c:pt idx="1">
                  <c:v>0.27272727272727271</c:v>
                </c:pt>
                <c:pt idx="2">
                  <c:v>0.13636363636363635</c:v>
                </c:pt>
                <c:pt idx="3">
                  <c:v>4.5454545454545456E-2</c:v>
                </c:pt>
                <c:pt idx="4">
                  <c:v>2.2727272727272728E-2</c:v>
                </c:pt>
                <c:pt idx="5">
                  <c:v>2.2727272727272728E-2</c:v>
                </c:pt>
                <c:pt idx="6">
                  <c:v>2.2727272727272728E-2</c:v>
                </c:pt>
                <c:pt idx="7">
                  <c:v>2.2727272727272728E-2</c:v>
                </c:pt>
              </c:numCache>
            </c:numRef>
          </c:val>
          <c:extLst>
            <c:ext xmlns:c16="http://schemas.microsoft.com/office/drawing/2014/chart" uri="{C3380CC4-5D6E-409C-BE32-E72D297353CC}">
              <c16:uniqueId val="{00000000-C206-4586-A939-836B683BB8A8}"/>
            </c:ext>
          </c:extLst>
        </c:ser>
        <c:dLbls>
          <c:showLegendKey val="0"/>
          <c:showVal val="0"/>
          <c:showCatName val="0"/>
          <c:showSerName val="0"/>
          <c:showPercent val="0"/>
          <c:showBubbleSize val="0"/>
        </c:dLbls>
        <c:gapWidth val="150"/>
        <c:overlap val="100"/>
        <c:axId val="614339520"/>
        <c:axId val="614334840"/>
      </c:barChart>
      <c:catAx>
        <c:axId val="61433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14334840"/>
        <c:crosses val="autoZero"/>
        <c:auto val="1"/>
        <c:lblAlgn val="ctr"/>
        <c:lblOffset val="100"/>
        <c:noMultiLvlLbl val="0"/>
      </c:catAx>
      <c:valAx>
        <c:axId val="61433484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39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'Forecast Sheet'!$B$1</c:f>
              <c:strCache>
                <c:ptCount val="1"/>
                <c:pt idx="0">
                  <c:v>Sales</c:v>
                </c:pt>
              </c:strCache>
            </c:strRef>
          </c:tx>
          <c:spPr>
            <a:solidFill>
              <a:schemeClr val="accent1"/>
            </a:solidFill>
            <a:ln w="12700">
              <a:solidFill>
                <a:srgbClr val="FFFFFF"/>
              </a:solidFill>
              <a:prstDash val="solid"/>
            </a:ln>
            <a:effectLst/>
          </c:spPr>
          <c:invertIfNegative val="0"/>
          <c:val>
            <c:numRef>
              <c:f>'Forecast Sheet'!$B$2:$B$30</c:f>
              <c:numCache>
                <c:formatCode>General</c:formatCode>
                <c:ptCount val="29"/>
                <c:pt idx="0">
                  <c:v>293</c:v>
                </c:pt>
                <c:pt idx="1">
                  <c:v>158.33333333333334</c:v>
                </c:pt>
                <c:pt idx="2">
                  <c:v>45</c:v>
                </c:pt>
                <c:pt idx="3">
                  <c:v>80</c:v>
                </c:pt>
                <c:pt idx="4">
                  <c:v>130</c:v>
                </c:pt>
                <c:pt idx="5">
                  <c:v>120</c:v>
                </c:pt>
                <c:pt idx="6">
                  <c:v>70</c:v>
                </c:pt>
                <c:pt idx="7">
                  <c:v>90</c:v>
                </c:pt>
                <c:pt idx="8">
                  <c:v>80</c:v>
                </c:pt>
                <c:pt idx="9">
                  <c:v>35</c:v>
                </c:pt>
                <c:pt idx="10">
                  <c:v>50</c:v>
                </c:pt>
                <c:pt idx="11">
                  <c:v>247.5</c:v>
                </c:pt>
                <c:pt idx="12">
                  <c:v>800</c:v>
                </c:pt>
                <c:pt idx="13">
                  <c:v>120</c:v>
                </c:pt>
                <c:pt idx="14">
                  <c:v>85</c:v>
                </c:pt>
                <c:pt idx="15">
                  <c:v>40</c:v>
                </c:pt>
                <c:pt idx="16">
                  <c:v>90</c:v>
                </c:pt>
                <c:pt idx="17">
                  <c:v>180</c:v>
                </c:pt>
                <c:pt idx="18">
                  <c:v>150</c:v>
                </c:pt>
                <c:pt idx="19">
                  <c:v>230</c:v>
                </c:pt>
                <c:pt idx="20">
                  <c:v>50</c:v>
                </c:pt>
                <c:pt idx="21">
                  <c:v>1300</c:v>
                </c:pt>
              </c:numCache>
            </c:numRef>
          </c:val>
          <c:extLst>
            <c:ext xmlns:c16="http://schemas.microsoft.com/office/drawing/2014/chart" uri="{C3380CC4-5D6E-409C-BE32-E72D297353CC}">
              <c16:uniqueId val="{00000000-24FC-4FB5-88A4-BE5DCF07583E}"/>
            </c:ext>
          </c:extLst>
        </c:ser>
        <c:ser>
          <c:idx val="1"/>
          <c:order val="1"/>
          <c:tx>
            <c:strRef>
              <c:f>'Forecast Sheet'!$C$1</c:f>
              <c:strCache>
                <c:ptCount val="1"/>
                <c:pt idx="0">
                  <c:v>Forecast(Sales)</c:v>
                </c:pt>
              </c:strCache>
            </c:strRef>
          </c:tx>
          <c:spPr>
            <a:solidFill>
              <a:schemeClr val="accent2"/>
            </a:solidFill>
            <a:ln w="12700">
              <a:solidFill>
                <a:srgbClr val="FFFFFF"/>
              </a:solidFill>
              <a:prstDash val="solid"/>
            </a:ln>
            <a:effectLst/>
          </c:spPr>
          <c:invertIfNegative val="0"/>
          <c:errBars>
            <c:errBarType val="both"/>
            <c:errValType val="cust"/>
            <c:noEndCap val="0"/>
            <c:plus>
              <c:numRef>
                <c:f>'Forecast Sheet'!$D$2:$D$30</c:f>
                <c:numCache>
                  <c:formatCode>General</c:formatCode>
                  <c:ptCount val="29"/>
                  <c:pt idx="21">
                    <c:v>338.08623620850562</c:v>
                  </c:pt>
                  <c:pt idx="22">
                    <c:v>361.9578842871054</c:v>
                  </c:pt>
                  <c:pt idx="23">
                    <c:v>364.78156519609087</c:v>
                  </c:pt>
                  <c:pt idx="24">
                    <c:v>367.62606921349726</c:v>
                  </c:pt>
                  <c:pt idx="25">
                    <c:v>370.49123518906316</c:v>
                  </c:pt>
                  <c:pt idx="26">
                    <c:v>373.3769034708896</c:v>
                  </c:pt>
                  <c:pt idx="27">
                    <c:v>376.28291593572561</c:v>
                  </c:pt>
                  <c:pt idx="28">
                    <c:v>376.36827455802427</c:v>
                  </c:pt>
                </c:numCache>
              </c:numRef>
            </c:plus>
            <c:minus>
              <c:numRef>
                <c:f>'Forecast Sheet'!$D$2:$D$30</c:f>
                <c:numCache>
                  <c:formatCode>General</c:formatCode>
                  <c:ptCount val="29"/>
                  <c:pt idx="21">
                    <c:v>338.08623620850562</c:v>
                  </c:pt>
                  <c:pt idx="22">
                    <c:v>361.9578842871054</c:v>
                  </c:pt>
                  <c:pt idx="23">
                    <c:v>364.78156519609087</c:v>
                  </c:pt>
                  <c:pt idx="24">
                    <c:v>367.62606921349726</c:v>
                  </c:pt>
                  <c:pt idx="25">
                    <c:v>370.49123518906316</c:v>
                  </c:pt>
                  <c:pt idx="26">
                    <c:v>373.3769034708896</c:v>
                  </c:pt>
                  <c:pt idx="27">
                    <c:v>376.28291593572561</c:v>
                  </c:pt>
                  <c:pt idx="28">
                    <c:v>376.36827455802427</c:v>
                  </c:pt>
                </c:numCache>
              </c:numRef>
            </c:minus>
            <c:spPr>
              <a:noFill/>
              <a:ln w="9525" cap="flat" cmpd="sng" algn="ctr">
                <a:solidFill>
                  <a:srgbClr val="595959">
                    <a:alpha val="40392"/>
                  </a:srgbClr>
                </a:solidFill>
                <a:prstDash val="solid"/>
                <a:round/>
              </a:ln>
              <a:effectLst/>
            </c:spPr>
          </c:errBars>
          <c:cat>
            <c:numRef>
              <c:f>'Forecast Sheet'!$A$2:$A$30</c:f>
              <c:numCache>
                <c:formatCode>m/d/yyyy</c:formatCode>
                <c:ptCount val="29"/>
                <c:pt idx="0">
                  <c:v>44569</c:v>
                </c:pt>
                <c:pt idx="1">
                  <c:v>44604</c:v>
                </c:pt>
                <c:pt idx="2">
                  <c:v>44625</c:v>
                </c:pt>
                <c:pt idx="3">
                  <c:v>44666</c:v>
                </c:pt>
                <c:pt idx="4">
                  <c:v>44713</c:v>
                </c:pt>
                <c:pt idx="5">
                  <c:v>44747</c:v>
                </c:pt>
                <c:pt idx="6">
                  <c:v>44783</c:v>
                </c:pt>
                <c:pt idx="7">
                  <c:v>44819</c:v>
                </c:pt>
                <c:pt idx="8">
                  <c:v>44854</c:v>
                </c:pt>
                <c:pt idx="9">
                  <c:v>44866</c:v>
                </c:pt>
                <c:pt idx="10">
                  <c:v>44900</c:v>
                </c:pt>
                <c:pt idx="11">
                  <c:v>44949</c:v>
                </c:pt>
                <c:pt idx="12">
                  <c:v>44967</c:v>
                </c:pt>
                <c:pt idx="13">
                  <c:v>45000</c:v>
                </c:pt>
                <c:pt idx="14">
                  <c:v>45047</c:v>
                </c:pt>
                <c:pt idx="15">
                  <c:v>45082</c:v>
                </c:pt>
                <c:pt idx="16">
                  <c:v>45117</c:v>
                </c:pt>
                <c:pt idx="17">
                  <c:v>45153</c:v>
                </c:pt>
                <c:pt idx="18">
                  <c:v>45189</c:v>
                </c:pt>
                <c:pt idx="19">
                  <c:v>45224</c:v>
                </c:pt>
                <c:pt idx="20">
                  <c:v>45265</c:v>
                </c:pt>
                <c:pt idx="21">
                  <c:v>45296</c:v>
                </c:pt>
                <c:pt idx="22">
                  <c:v>45333</c:v>
                </c:pt>
                <c:pt idx="23">
                  <c:v>45367</c:v>
                </c:pt>
                <c:pt idx="24">
                  <c:v>45401</c:v>
                </c:pt>
                <c:pt idx="25">
                  <c:v>45435</c:v>
                </c:pt>
                <c:pt idx="26">
                  <c:v>45469</c:v>
                </c:pt>
                <c:pt idx="27">
                  <c:v>45503</c:v>
                </c:pt>
                <c:pt idx="28">
                  <c:v>45504</c:v>
                </c:pt>
              </c:numCache>
            </c:numRef>
          </c:cat>
          <c:val>
            <c:numRef>
              <c:f>'Forecast Sheet'!$C$2:$C$30</c:f>
              <c:numCache>
                <c:formatCode>General</c:formatCode>
                <c:ptCount val="29"/>
                <c:pt idx="21">
                  <c:v>161.25234081400214</c:v>
                </c:pt>
                <c:pt idx="22">
                  <c:v>161.33980234641598</c:v>
                </c:pt>
                <c:pt idx="23">
                  <c:v>161.42017240322863</c:v>
                </c:pt>
                <c:pt idx="24">
                  <c:v>161.50054246004134</c:v>
                </c:pt>
                <c:pt idx="25">
                  <c:v>161.580912516854</c:v>
                </c:pt>
                <c:pt idx="26">
                  <c:v>161.66128257366671</c:v>
                </c:pt>
                <c:pt idx="27">
                  <c:v>161.74165263047934</c:v>
                </c:pt>
                <c:pt idx="28">
                  <c:v>161.74401645567971</c:v>
                </c:pt>
              </c:numCache>
            </c:numRef>
          </c:val>
          <c:extLst>
            <c:ext xmlns:c16="http://schemas.microsoft.com/office/drawing/2014/chart" uri="{C3380CC4-5D6E-409C-BE32-E72D297353CC}">
              <c16:uniqueId val="{00000001-24FC-4FB5-88A4-BE5DCF07583E}"/>
            </c:ext>
          </c:extLst>
        </c:ser>
        <c:dLbls>
          <c:showLegendKey val="0"/>
          <c:showVal val="0"/>
          <c:showCatName val="0"/>
          <c:showSerName val="0"/>
          <c:showPercent val="0"/>
          <c:showBubbleSize val="0"/>
        </c:dLbls>
        <c:gapWidth val="0"/>
        <c:overlap val="100"/>
        <c:axId val="503452896"/>
        <c:axId val="503455776"/>
      </c:barChart>
      <c:catAx>
        <c:axId val="50345289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55776"/>
        <c:crosses val="autoZero"/>
        <c:auto val="1"/>
        <c:lblAlgn val="ctr"/>
        <c:lblOffset val="100"/>
        <c:noMultiLvlLbl val="0"/>
      </c:catAx>
      <c:valAx>
        <c:axId val="503455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52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omic Sans MS" panose="030F0702030302020204" pitchFamily="66" charset="0"/>
                <a:cs typeface="Times New Roman" panose="02020603050405020304" pitchFamily="18" charset="0"/>
              </a:rPr>
              <a:t>SALES($)</a:t>
            </a:r>
            <a:r>
              <a:rPr lang="en-US" b="1" baseline="0">
                <a:latin typeface="Comic Sans MS" panose="030F0702030302020204" pitchFamily="66" charset="0"/>
                <a:cs typeface="Times New Roman" panose="02020603050405020304" pitchFamily="18" charset="0"/>
              </a:rPr>
              <a:t> AND PROFIT(%) BY MONTH</a:t>
            </a:r>
            <a:endParaRPr lang="en-US" b="1">
              <a:latin typeface="Comic Sans MS" panose="030F0702030302020204" pitchFamily="66"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Sum of Sales</c:v>
          </c:tx>
          <c:spPr>
            <a:solidFill>
              <a:schemeClr val="accent1"/>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3440</c:v>
              </c:pt>
              <c:pt idx="1">
                <c:v>1125</c:v>
              </c:pt>
              <c:pt idx="2">
                <c:v>595</c:v>
              </c:pt>
              <c:pt idx="3">
                <c:v>220</c:v>
              </c:pt>
              <c:pt idx="4">
                <c:v>210</c:v>
              </c:pt>
              <c:pt idx="5">
                <c:v>490</c:v>
              </c:pt>
              <c:pt idx="6">
                <c:v>270</c:v>
              </c:pt>
              <c:pt idx="7">
                <c:v>330</c:v>
              </c:pt>
              <c:pt idx="8">
                <c:v>260</c:v>
              </c:pt>
              <c:pt idx="9">
                <c:v>880</c:v>
              </c:pt>
              <c:pt idx="10">
                <c:v>170</c:v>
              </c:pt>
              <c:pt idx="11">
                <c:v>130</c:v>
              </c:pt>
            </c:numLit>
          </c:val>
          <c:extLst>
            <c:ext xmlns:c16="http://schemas.microsoft.com/office/drawing/2014/chart" uri="{C3380CC4-5D6E-409C-BE32-E72D297353CC}">
              <c16:uniqueId val="{00000000-F0CA-41CB-9410-65062545450E}"/>
            </c:ext>
          </c:extLst>
        </c:ser>
        <c:ser>
          <c:idx val="1"/>
          <c:order val="1"/>
          <c:tx>
            <c:v>Series2</c:v>
          </c:tx>
          <c:spPr>
            <a:solidFill>
              <a:schemeClr val="accent2"/>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710</c:v>
              </c:pt>
              <c:pt idx="1">
                <c:v>255</c:v>
              </c:pt>
              <c:pt idx="2">
                <c:v>145</c:v>
              </c:pt>
              <c:pt idx="3">
                <c:v>68</c:v>
              </c:pt>
              <c:pt idx="4">
                <c:v>53</c:v>
              </c:pt>
              <c:pt idx="5">
                <c:v>115</c:v>
              </c:pt>
              <c:pt idx="6">
                <c:v>77</c:v>
              </c:pt>
              <c:pt idx="7">
                <c:v>83</c:v>
              </c:pt>
              <c:pt idx="8">
                <c:v>90</c:v>
              </c:pt>
              <c:pt idx="9">
                <c:v>176</c:v>
              </c:pt>
              <c:pt idx="10">
                <c:v>53</c:v>
              </c:pt>
              <c:pt idx="11">
                <c:v>40</c:v>
              </c:pt>
            </c:numLit>
          </c:val>
          <c:extLst>
            <c:ext xmlns:c16="http://schemas.microsoft.com/office/drawing/2014/chart" uri="{C3380CC4-5D6E-409C-BE32-E72D297353CC}">
              <c16:uniqueId val="{00000001-F0CA-41CB-9410-65062545450E}"/>
            </c:ext>
          </c:extLst>
        </c:ser>
        <c:dLbls>
          <c:showLegendKey val="0"/>
          <c:showVal val="0"/>
          <c:showCatName val="0"/>
          <c:showSerName val="0"/>
          <c:showPercent val="0"/>
          <c:showBubbleSize val="0"/>
        </c:dLbls>
        <c:gapWidth val="90"/>
        <c:overlap val="100"/>
        <c:axId val="563203520"/>
        <c:axId val="563197040"/>
      </c:barChart>
      <c:catAx>
        <c:axId val="56320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197040"/>
        <c:crosses val="autoZero"/>
        <c:auto val="1"/>
        <c:lblAlgn val="ctr"/>
        <c:lblOffset val="100"/>
        <c:noMultiLvlLbl val="0"/>
      </c:catAx>
      <c:valAx>
        <c:axId val="56319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20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CUSTOMER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Dashboard'!$W$4</c:f>
              <c:strCache>
                <c:ptCount val="1"/>
                <c:pt idx="0">
                  <c:v>Total</c:v>
                </c:pt>
              </c:strCache>
            </c:strRef>
          </c:tx>
          <c:spPr>
            <a:solidFill>
              <a:schemeClr val="accent1"/>
            </a:solidFill>
            <a:ln>
              <a:noFill/>
            </a:ln>
            <a:effectLst/>
          </c:spPr>
          <c:invertIfNegative val="0"/>
          <c:cat>
            <c:strRef>
              <c:f>'Pivot for Dashboard'!$V$5:$V$14</c:f>
              <c:strCache>
                <c:ptCount val="10"/>
                <c:pt idx="0">
                  <c:v>C001</c:v>
                </c:pt>
                <c:pt idx="1">
                  <c:v>C002</c:v>
                </c:pt>
                <c:pt idx="2">
                  <c:v>C003</c:v>
                </c:pt>
                <c:pt idx="3">
                  <c:v>C004</c:v>
                </c:pt>
                <c:pt idx="4">
                  <c:v>C005</c:v>
                </c:pt>
                <c:pt idx="5">
                  <c:v>C006</c:v>
                </c:pt>
                <c:pt idx="6">
                  <c:v>C007</c:v>
                </c:pt>
                <c:pt idx="7">
                  <c:v>C008</c:v>
                </c:pt>
                <c:pt idx="8">
                  <c:v>C009</c:v>
                </c:pt>
                <c:pt idx="9">
                  <c:v>C010</c:v>
                </c:pt>
              </c:strCache>
            </c:strRef>
          </c:cat>
          <c:val>
            <c:numRef>
              <c:f>'Pivot for Dashboard'!$W$5:$W$14</c:f>
              <c:numCache>
                <c:formatCode>_(* #,##0_);_(* \(#,##0\);_(* "-"??_);_(@_)</c:formatCode>
                <c:ptCount val="10"/>
                <c:pt idx="0">
                  <c:v>2435</c:v>
                </c:pt>
                <c:pt idx="1">
                  <c:v>500</c:v>
                </c:pt>
                <c:pt idx="2">
                  <c:v>1260</c:v>
                </c:pt>
                <c:pt idx="3">
                  <c:v>260</c:v>
                </c:pt>
                <c:pt idx="4">
                  <c:v>360</c:v>
                </c:pt>
                <c:pt idx="5">
                  <c:v>1925</c:v>
                </c:pt>
                <c:pt idx="6">
                  <c:v>575</c:v>
                </c:pt>
                <c:pt idx="7">
                  <c:v>350</c:v>
                </c:pt>
                <c:pt idx="8">
                  <c:v>260</c:v>
                </c:pt>
                <c:pt idx="9">
                  <c:v>195</c:v>
                </c:pt>
              </c:numCache>
            </c:numRef>
          </c:val>
          <c:extLst>
            <c:ext xmlns:c16="http://schemas.microsoft.com/office/drawing/2014/chart" uri="{C3380CC4-5D6E-409C-BE32-E72D297353CC}">
              <c16:uniqueId val="{00000000-1AFF-42C9-8C52-98FEF6BFE310}"/>
            </c:ext>
          </c:extLst>
        </c:ser>
        <c:dLbls>
          <c:showLegendKey val="0"/>
          <c:showVal val="0"/>
          <c:showCatName val="0"/>
          <c:showSerName val="0"/>
          <c:showPercent val="0"/>
          <c:showBubbleSize val="0"/>
        </c:dLbls>
        <c:gapWidth val="182"/>
        <c:axId val="722354424"/>
        <c:axId val="722350824"/>
      </c:barChart>
      <c:catAx>
        <c:axId val="722354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350824"/>
        <c:crosses val="autoZero"/>
        <c:auto val="1"/>
        <c:lblAlgn val="ctr"/>
        <c:lblOffset val="100"/>
        <c:noMultiLvlLbl val="0"/>
      </c:catAx>
      <c:valAx>
        <c:axId val="722350824"/>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354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Dashboard!PivotTable16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latin typeface="Comic Sans MS" panose="030F0702030302020204" pitchFamily="66" charset="0"/>
              </a:rPr>
              <a:t>SALES</a:t>
            </a:r>
            <a:r>
              <a:rPr lang="en-US" sz="1100" b="1" baseline="0">
                <a:latin typeface="Comic Sans MS" panose="030F0702030302020204" pitchFamily="66" charset="0"/>
              </a:rPr>
              <a:t> PERCENTAGE BY COUNTRY</a:t>
            </a:r>
            <a:endParaRPr lang="en-US" sz="1100" b="1">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 for Dashboard'!$AP$4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67-4C16-96D9-386DDBCBA4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67-4C16-96D9-386DDBCBA4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67-4C16-96D9-386DDBCBA44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67-4C16-96D9-386DDBCBA4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for Dashboard'!$AO$5:$AO$8</c:f>
              <c:strCache>
                <c:ptCount val="4"/>
                <c:pt idx="0">
                  <c:v>Australia</c:v>
                </c:pt>
                <c:pt idx="1">
                  <c:v>Canada</c:v>
                </c:pt>
                <c:pt idx="2">
                  <c:v>UK</c:v>
                </c:pt>
                <c:pt idx="3">
                  <c:v>USA</c:v>
                </c:pt>
              </c:strCache>
            </c:strRef>
          </c:cat>
          <c:val>
            <c:numRef>
              <c:f>'Pivot for Dashboard'!$AP$5:$AP$8</c:f>
              <c:numCache>
                <c:formatCode>0%</c:formatCode>
                <c:ptCount val="4"/>
                <c:pt idx="0">
                  <c:v>7.9433497536945813E-2</c:v>
                </c:pt>
                <c:pt idx="1">
                  <c:v>0.35283251231527096</c:v>
                </c:pt>
                <c:pt idx="2">
                  <c:v>0.1539408866995074</c:v>
                </c:pt>
                <c:pt idx="3">
                  <c:v>0.41379310344827586</c:v>
                </c:pt>
              </c:numCache>
            </c:numRef>
          </c:val>
          <c:extLst>
            <c:ext xmlns:c16="http://schemas.microsoft.com/office/drawing/2014/chart" uri="{C3380CC4-5D6E-409C-BE32-E72D297353CC}">
              <c16:uniqueId val="{00000003-E6BD-42CC-B06D-3BB4C5F261C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Dashboard!PivotTable20</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200">
                <a:latin typeface="Comic Sans MS" panose="030F0702030302020204" pitchFamily="66" charset="0"/>
              </a:rPr>
              <a:t>MONTHLY</a:t>
            </a:r>
            <a:r>
              <a:rPr lang="en-US" sz="1200" baseline="0">
                <a:latin typeface="Comic Sans MS" panose="030F0702030302020204" pitchFamily="66" charset="0"/>
              </a:rPr>
              <a:t> PROFIT</a:t>
            </a:r>
            <a:endParaRPr lang="en-US" sz="1200">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for Dashboard'!$BN$5</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multiLvlStrRef>
              <c:f>'Pivot for Dashboard'!$BM$6:$BM$44</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2022</c:v>
                  </c:pt>
                  <c:pt idx="12">
                    <c:v>2023</c:v>
                  </c:pt>
                  <c:pt idx="24">
                    <c:v>2024</c:v>
                  </c:pt>
                </c:lvl>
              </c:multiLvlStrCache>
            </c:multiLvlStrRef>
          </c:cat>
          <c:val>
            <c:numRef>
              <c:f>'Pivot for Dashboard'!$BN$6:$BN$44</c:f>
              <c:numCache>
                <c:formatCode>_(* #,##0_);_(* \(#,##0\);_(* "-"??_);_(@_)</c:formatCode>
                <c:ptCount val="36"/>
                <c:pt idx="0">
                  <c:v>305</c:v>
                </c:pt>
                <c:pt idx="1">
                  <c:v>55</c:v>
                </c:pt>
                <c:pt idx="2">
                  <c:v>70</c:v>
                </c:pt>
                <c:pt idx="3">
                  <c:v>25</c:v>
                </c:pt>
                <c:pt idx="4">
                  <c:v>3</c:v>
                </c:pt>
                <c:pt idx="5">
                  <c:v>50</c:v>
                </c:pt>
                <c:pt idx="6">
                  <c:v>45</c:v>
                </c:pt>
                <c:pt idx="7">
                  <c:v>18</c:v>
                </c:pt>
                <c:pt idx="8">
                  <c:v>22</c:v>
                </c:pt>
                <c:pt idx="9">
                  <c:v>16</c:v>
                </c:pt>
                <c:pt idx="10">
                  <c:v>8</c:v>
                </c:pt>
                <c:pt idx="11">
                  <c:v>15</c:v>
                </c:pt>
                <c:pt idx="12">
                  <c:v>110</c:v>
                </c:pt>
                <c:pt idx="13">
                  <c:v>160</c:v>
                </c:pt>
                <c:pt idx="14">
                  <c:v>25</c:v>
                </c:pt>
                <c:pt idx="15">
                  <c:v>28</c:v>
                </c:pt>
                <c:pt idx="16">
                  <c:v>30</c:v>
                </c:pt>
                <c:pt idx="17">
                  <c:v>15</c:v>
                </c:pt>
                <c:pt idx="18">
                  <c:v>20</c:v>
                </c:pt>
                <c:pt idx="19">
                  <c:v>40</c:v>
                </c:pt>
                <c:pt idx="20">
                  <c:v>60</c:v>
                </c:pt>
                <c:pt idx="21">
                  <c:v>70</c:v>
                </c:pt>
                <c:pt idx="22">
                  <c:v>35</c:v>
                </c:pt>
                <c:pt idx="23">
                  <c:v>15</c:v>
                </c:pt>
                <c:pt idx="24">
                  <c:v>295</c:v>
                </c:pt>
                <c:pt idx="25">
                  <c:v>40</c:v>
                </c:pt>
                <c:pt idx="26">
                  <c:v>50</c:v>
                </c:pt>
                <c:pt idx="27">
                  <c:v>15</c:v>
                </c:pt>
                <c:pt idx="28">
                  <c:v>20</c:v>
                </c:pt>
                <c:pt idx="29">
                  <c:v>50</c:v>
                </c:pt>
                <c:pt idx="30">
                  <c:v>12</c:v>
                </c:pt>
                <c:pt idx="31">
                  <c:v>25</c:v>
                </c:pt>
                <c:pt idx="32">
                  <c:v>8</c:v>
                </c:pt>
                <c:pt idx="33">
                  <c:v>90</c:v>
                </c:pt>
                <c:pt idx="34">
                  <c:v>10</c:v>
                </c:pt>
                <c:pt idx="35">
                  <c:v>10</c:v>
                </c:pt>
              </c:numCache>
            </c:numRef>
          </c:val>
          <c:smooth val="0"/>
          <c:extLst>
            <c:ext xmlns:c16="http://schemas.microsoft.com/office/drawing/2014/chart" uri="{C3380CC4-5D6E-409C-BE32-E72D297353CC}">
              <c16:uniqueId val="{00000000-C216-4BF4-85A9-A67DCDC7E528}"/>
            </c:ext>
          </c:extLst>
        </c:ser>
        <c:dLbls>
          <c:showLegendKey val="0"/>
          <c:showVal val="0"/>
          <c:showCatName val="0"/>
          <c:showSerName val="0"/>
          <c:showPercent val="0"/>
          <c:showBubbleSize val="0"/>
        </c:dLbls>
        <c:marker val="1"/>
        <c:smooth val="0"/>
        <c:axId val="673268752"/>
        <c:axId val="673270552"/>
      </c:lineChart>
      <c:catAx>
        <c:axId val="6732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73270552"/>
        <c:crosses val="autoZero"/>
        <c:auto val="1"/>
        <c:lblAlgn val="ctr"/>
        <c:lblOffset val="100"/>
        <c:noMultiLvlLbl val="0"/>
      </c:catAx>
      <c:valAx>
        <c:axId val="673270552"/>
        <c:scaling>
          <c:orientation val="minMax"/>
        </c:scaling>
        <c:delete val="0"/>
        <c:axPos val="l"/>
        <c:numFmt formatCode="_(* #,##0_);_(* \(#,##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26875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latin typeface="Comic Sans MS" panose="030F0702030302020204" pitchFamily="66" charset="0"/>
              </a:rPr>
              <a:t>PRODUCTS PERCENTAGE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for Dashboard'!$CA$4</c:f>
              <c:strCache>
                <c:ptCount val="1"/>
                <c:pt idx="0">
                  <c:v>Total</c:v>
                </c:pt>
              </c:strCache>
            </c:strRef>
          </c:tx>
          <c:spPr>
            <a:solidFill>
              <a:schemeClr val="accent1"/>
            </a:solidFill>
            <a:ln>
              <a:noFill/>
            </a:ln>
            <a:effectLst/>
          </c:spPr>
          <c:cat>
            <c:strRef>
              <c:f>'Pivot for Dashboard'!$BZ$5:$BZ$48</c:f>
              <c:strCache>
                <c:ptCount val="44"/>
                <c:pt idx="0">
                  <c:v>Air Fryer</c:v>
                </c:pt>
                <c:pt idx="1">
                  <c:v>Autumn Scarf</c:v>
                </c:pt>
                <c:pt idx="2">
                  <c:v>Backpack</c:v>
                </c:pt>
                <c:pt idx="3">
                  <c:v>Blender</c:v>
                </c:pt>
                <c:pt idx="4">
                  <c:v>Boots</c:v>
                </c:pt>
                <c:pt idx="5">
                  <c:v>Camping Tent</c:v>
                </c:pt>
                <c:pt idx="6">
                  <c:v>Christmas Decor</c:v>
                </c:pt>
                <c:pt idx="7">
                  <c:v>Coffee Maker</c:v>
                </c:pt>
                <c:pt idx="8">
                  <c:v>Desk Lamp</c:v>
                </c:pt>
                <c:pt idx="9">
                  <c:v>Dress</c:v>
                </c:pt>
                <c:pt idx="10">
                  <c:v>E-Reader</c:v>
                </c:pt>
                <c:pt idx="11">
                  <c:v>External Hard Drive</c:v>
                </c:pt>
                <c:pt idx="12">
                  <c:v>Fitness Tracker</c:v>
                </c:pt>
                <c:pt idx="13">
                  <c:v>Gaming Headset</c:v>
                </c:pt>
                <c:pt idx="14">
                  <c:v>Gaming Monitor</c:v>
                </c:pt>
                <c:pt idx="15">
                  <c:v>Headphones</c:v>
                </c:pt>
                <c:pt idx="16">
                  <c:v>Jacket</c:v>
                </c:pt>
                <c:pt idx="17">
                  <c:v>Jeans</c:v>
                </c:pt>
                <c:pt idx="18">
                  <c:v>Keyboard</c:v>
                </c:pt>
                <c:pt idx="19">
                  <c:v>Laptop</c:v>
                </c:pt>
                <c:pt idx="20">
                  <c:v>Monitor</c:v>
                </c:pt>
                <c:pt idx="21">
                  <c:v>Mouse</c:v>
                </c:pt>
                <c:pt idx="22">
                  <c:v>New Laptop Model</c:v>
                </c:pt>
                <c:pt idx="23">
                  <c:v>Portable Speaker</c:v>
                </c:pt>
                <c:pt idx="24">
                  <c:v>Robot Vacuum</c:v>
                </c:pt>
                <c:pt idx="25">
                  <c:v>Running Shoes</c:v>
                </c:pt>
                <c:pt idx="26">
                  <c:v>Running Shorts</c:v>
                </c:pt>
                <c:pt idx="27">
                  <c:v>Smart Plug</c:v>
                </c:pt>
                <c:pt idx="28">
                  <c:v>Smart Scale</c:v>
                </c:pt>
                <c:pt idx="29">
                  <c:v>Smart Speaker</c:v>
                </c:pt>
                <c:pt idx="30">
                  <c:v>Smart Thermostat</c:v>
                </c:pt>
                <c:pt idx="31">
                  <c:v>Smart TV</c:v>
                </c:pt>
                <c:pt idx="32">
                  <c:v>Smartwatch</c:v>
                </c:pt>
                <c:pt idx="33">
                  <c:v>Sneakers</c:v>
                </c:pt>
                <c:pt idx="34">
                  <c:v>Socks</c:v>
                </c:pt>
                <c:pt idx="35">
                  <c:v>Spring Jacket</c:v>
                </c:pt>
                <c:pt idx="36">
                  <c:v>Summer Dress</c:v>
                </c:pt>
                <c:pt idx="37">
                  <c:v>Sweater</c:v>
                </c:pt>
                <c:pt idx="38">
                  <c:v>Tablet</c:v>
                </c:pt>
                <c:pt idx="39">
                  <c:v>T-Shirt</c:v>
                </c:pt>
                <c:pt idx="40">
                  <c:v>Webcam</c:v>
                </c:pt>
                <c:pt idx="41">
                  <c:v>Winter Coat</c:v>
                </c:pt>
                <c:pt idx="42">
                  <c:v>Winter Gloves</c:v>
                </c:pt>
                <c:pt idx="43">
                  <c:v>Wireless Earbuds</c:v>
                </c:pt>
              </c:strCache>
            </c:strRef>
          </c:cat>
          <c:val>
            <c:numRef>
              <c:f>'Pivot for Dashboard'!$CA$5:$CA$48</c:f>
              <c:numCache>
                <c:formatCode>0.0%</c:formatCode>
                <c:ptCount val="44"/>
                <c:pt idx="0">
                  <c:v>1.2315270935960592E-2</c:v>
                </c:pt>
                <c:pt idx="1">
                  <c:v>2.4630541871921183E-3</c:v>
                </c:pt>
                <c:pt idx="2">
                  <c:v>9.852216748768473E-3</c:v>
                </c:pt>
                <c:pt idx="3">
                  <c:v>1.1083743842364532E-2</c:v>
                </c:pt>
                <c:pt idx="4">
                  <c:v>1.3546798029556651E-2</c:v>
                </c:pt>
                <c:pt idx="5">
                  <c:v>2.4630541871921183E-2</c:v>
                </c:pt>
                <c:pt idx="6">
                  <c:v>6.1576354679802959E-3</c:v>
                </c:pt>
                <c:pt idx="7">
                  <c:v>8.6206896551724137E-3</c:v>
                </c:pt>
                <c:pt idx="8">
                  <c:v>4.3103448275862068E-3</c:v>
                </c:pt>
                <c:pt idx="9">
                  <c:v>1.2315270935960592E-2</c:v>
                </c:pt>
                <c:pt idx="10">
                  <c:v>1.2315270935960592E-2</c:v>
                </c:pt>
                <c:pt idx="11">
                  <c:v>9.852216748768473E-3</c:v>
                </c:pt>
                <c:pt idx="12">
                  <c:v>1.4778325123152709E-2</c:v>
                </c:pt>
                <c:pt idx="13">
                  <c:v>2.2167487684729065E-2</c:v>
                </c:pt>
                <c:pt idx="14">
                  <c:v>5.5418719211822662E-2</c:v>
                </c:pt>
                <c:pt idx="15">
                  <c:v>1.8472906403940888E-2</c:v>
                </c:pt>
                <c:pt idx="16">
                  <c:v>1.4778325123152709E-2</c:v>
                </c:pt>
                <c:pt idx="17">
                  <c:v>7.3891625615763543E-3</c:v>
                </c:pt>
                <c:pt idx="18">
                  <c:v>9.2364532019704442E-3</c:v>
                </c:pt>
                <c:pt idx="19">
                  <c:v>0.14778325123152711</c:v>
                </c:pt>
                <c:pt idx="20">
                  <c:v>3.6945812807881777E-2</c:v>
                </c:pt>
                <c:pt idx="21">
                  <c:v>3.6945812807881772E-3</c:v>
                </c:pt>
                <c:pt idx="22">
                  <c:v>0.16009852216748768</c:v>
                </c:pt>
                <c:pt idx="23">
                  <c:v>8.6206896551724137E-3</c:v>
                </c:pt>
                <c:pt idx="24">
                  <c:v>4.3103448275862072E-2</c:v>
                </c:pt>
                <c:pt idx="25">
                  <c:v>1.1699507389162561E-2</c:v>
                </c:pt>
                <c:pt idx="26">
                  <c:v>4.9261083743842365E-3</c:v>
                </c:pt>
                <c:pt idx="27">
                  <c:v>3.0788177339901479E-3</c:v>
                </c:pt>
                <c:pt idx="28">
                  <c:v>7.3891625615763543E-3</c:v>
                </c:pt>
                <c:pt idx="29">
                  <c:v>1.1083743842364532E-2</c:v>
                </c:pt>
                <c:pt idx="30">
                  <c:v>1.8472906403940888E-2</c:v>
                </c:pt>
                <c:pt idx="31">
                  <c:v>9.8522167487684734E-2</c:v>
                </c:pt>
                <c:pt idx="32">
                  <c:v>3.0788177339901478E-2</c:v>
                </c:pt>
                <c:pt idx="33">
                  <c:v>9.852216748768473E-3</c:v>
                </c:pt>
                <c:pt idx="34">
                  <c:v>1.2315270935960591E-3</c:v>
                </c:pt>
                <c:pt idx="35">
                  <c:v>1.600985221674877E-2</c:v>
                </c:pt>
                <c:pt idx="36">
                  <c:v>8.6206896551724137E-3</c:v>
                </c:pt>
                <c:pt idx="37">
                  <c:v>6.1576354679802959E-3</c:v>
                </c:pt>
                <c:pt idx="38">
                  <c:v>4.9261083743842367E-2</c:v>
                </c:pt>
                <c:pt idx="39">
                  <c:v>3.0788177339901479E-3</c:v>
                </c:pt>
                <c:pt idx="40">
                  <c:v>5.5418719211822662E-3</c:v>
                </c:pt>
                <c:pt idx="41">
                  <c:v>1.8472906403940888E-2</c:v>
                </c:pt>
                <c:pt idx="42">
                  <c:v>3.6945812807881772E-3</c:v>
                </c:pt>
                <c:pt idx="43">
                  <c:v>2.2167487684729065E-2</c:v>
                </c:pt>
              </c:numCache>
            </c:numRef>
          </c:val>
          <c:extLst>
            <c:ext xmlns:c16="http://schemas.microsoft.com/office/drawing/2014/chart" uri="{C3380CC4-5D6E-409C-BE32-E72D297353CC}">
              <c16:uniqueId val="{00000000-7BA1-4A2C-9982-32F4FE29DE5A}"/>
            </c:ext>
          </c:extLst>
        </c:ser>
        <c:dLbls>
          <c:showLegendKey val="0"/>
          <c:showVal val="0"/>
          <c:showCatName val="0"/>
          <c:showSerName val="0"/>
          <c:showPercent val="0"/>
          <c:showBubbleSize val="0"/>
        </c:dLbls>
        <c:axId val="663658960"/>
        <c:axId val="663664720"/>
      </c:areaChart>
      <c:catAx>
        <c:axId val="663658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664720"/>
        <c:crosses val="autoZero"/>
        <c:auto val="1"/>
        <c:lblAlgn val="ctr"/>
        <c:lblOffset val="100"/>
        <c:noMultiLvlLbl val="0"/>
      </c:catAx>
      <c:valAx>
        <c:axId val="66366472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65896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Comic Sans MS" panose="030F0702030302020204" pitchFamily="66" charset="0"/>
                <a:cs typeface="Times New Roman" panose="02020603050405020304" pitchFamily="18" charset="0"/>
              </a:rPr>
              <a:t>SALES($)</a:t>
            </a:r>
            <a:r>
              <a:rPr lang="en-US" sz="1800" b="1" baseline="0">
                <a:latin typeface="Comic Sans MS" panose="030F0702030302020204" pitchFamily="66" charset="0"/>
                <a:cs typeface="Times New Roman" panose="02020603050405020304" pitchFamily="18" charset="0"/>
              </a:rPr>
              <a:t> AND PROFIT(%) BY MONTH</a:t>
            </a:r>
            <a:endParaRPr lang="en-US" sz="1800" b="1">
              <a:latin typeface="Comic Sans MS" panose="030F0702030302020204" pitchFamily="66"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Series1</c:v>
          </c:tx>
          <c:spPr>
            <a:solidFill>
              <a:schemeClr val="accent2">
                <a:shade val="76000"/>
              </a:schemeClr>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3440</c:v>
              </c:pt>
              <c:pt idx="1">
                <c:v>1125</c:v>
              </c:pt>
              <c:pt idx="2">
                <c:v>595</c:v>
              </c:pt>
              <c:pt idx="3">
                <c:v>220</c:v>
              </c:pt>
              <c:pt idx="4">
                <c:v>210</c:v>
              </c:pt>
              <c:pt idx="5">
                <c:v>490</c:v>
              </c:pt>
              <c:pt idx="6">
                <c:v>270</c:v>
              </c:pt>
              <c:pt idx="7">
                <c:v>330</c:v>
              </c:pt>
              <c:pt idx="8">
                <c:v>260</c:v>
              </c:pt>
              <c:pt idx="9">
                <c:v>880</c:v>
              </c:pt>
              <c:pt idx="10">
                <c:v>170</c:v>
              </c:pt>
              <c:pt idx="11">
                <c:v>130</c:v>
              </c:pt>
            </c:numLit>
          </c:val>
          <c:extLst>
            <c:ext xmlns:c16="http://schemas.microsoft.com/office/drawing/2014/chart" uri="{C3380CC4-5D6E-409C-BE32-E72D297353CC}">
              <c16:uniqueId val="{00000000-04DF-4809-9B41-18FF830BB2E6}"/>
            </c:ext>
          </c:extLst>
        </c:ser>
        <c:ser>
          <c:idx val="1"/>
          <c:order val="1"/>
          <c:tx>
            <c:v>Series2</c:v>
          </c:tx>
          <c:spPr>
            <a:solidFill>
              <a:schemeClr val="accent2">
                <a:tint val="77000"/>
              </a:schemeClr>
            </a:solidFill>
            <a:ln>
              <a:noFill/>
            </a:ln>
            <a:effectLst/>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710</c:v>
              </c:pt>
              <c:pt idx="1">
                <c:v>255</c:v>
              </c:pt>
              <c:pt idx="2">
                <c:v>145</c:v>
              </c:pt>
              <c:pt idx="3">
                <c:v>68</c:v>
              </c:pt>
              <c:pt idx="4">
                <c:v>53</c:v>
              </c:pt>
              <c:pt idx="5">
                <c:v>115</c:v>
              </c:pt>
              <c:pt idx="6">
                <c:v>77</c:v>
              </c:pt>
              <c:pt idx="7">
                <c:v>83</c:v>
              </c:pt>
              <c:pt idx="8">
                <c:v>90</c:v>
              </c:pt>
              <c:pt idx="9">
                <c:v>176</c:v>
              </c:pt>
              <c:pt idx="10">
                <c:v>53</c:v>
              </c:pt>
              <c:pt idx="11">
                <c:v>40</c:v>
              </c:pt>
            </c:numLit>
          </c:val>
          <c:extLst>
            <c:ext xmlns:c16="http://schemas.microsoft.com/office/drawing/2014/chart" uri="{C3380CC4-5D6E-409C-BE32-E72D297353CC}">
              <c16:uniqueId val="{00000001-04DF-4809-9B41-18FF830BB2E6}"/>
            </c:ext>
          </c:extLst>
        </c:ser>
        <c:dLbls>
          <c:showLegendKey val="0"/>
          <c:showVal val="0"/>
          <c:showCatName val="0"/>
          <c:showSerName val="0"/>
          <c:showPercent val="0"/>
          <c:showBubbleSize val="0"/>
        </c:dLbls>
        <c:gapWidth val="90"/>
        <c:overlap val="100"/>
        <c:axId val="563203520"/>
        <c:axId val="563197040"/>
      </c:barChart>
      <c:catAx>
        <c:axId val="56320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3197040"/>
        <c:crosses val="autoZero"/>
        <c:auto val="1"/>
        <c:lblAlgn val="ctr"/>
        <c:lblOffset val="100"/>
        <c:noMultiLvlLbl val="0"/>
      </c:catAx>
      <c:valAx>
        <c:axId val="56319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6320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Dashboard!PivotTable16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7030A0"/>
                </a:solidFill>
                <a:latin typeface="Comic Sans MS" panose="030F0702030302020204" pitchFamily="66" charset="0"/>
              </a:rPr>
              <a:t>SALES</a:t>
            </a:r>
            <a:r>
              <a:rPr lang="en-US" sz="1800" b="1" baseline="0">
                <a:solidFill>
                  <a:srgbClr val="7030A0"/>
                </a:solidFill>
                <a:latin typeface="Comic Sans MS" panose="030F0702030302020204" pitchFamily="66" charset="0"/>
              </a:rPr>
              <a:t> PERCENTAGE BY COUNTRY</a:t>
            </a:r>
            <a:endParaRPr lang="en-US" sz="1800" b="1">
              <a:solidFill>
                <a:srgbClr val="7030A0"/>
              </a:solidFill>
              <a:latin typeface="Comic Sans MS" panose="030F0702030302020204" pitchFamily="66" charset="0"/>
            </a:endParaRPr>
          </a:p>
        </c:rich>
      </c:tx>
      <c:layout>
        <c:manualLayout>
          <c:xMode val="edge"/>
          <c:yMode val="edge"/>
          <c:x val="0.10950195249983996"/>
          <c:y val="4.19247763874377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0.31370110748351576"/>
          <c:y val="0.40811734095682023"/>
          <c:w val="0.33113533064464501"/>
          <c:h val="0.56919376234153718"/>
        </c:manualLayout>
      </c:layout>
      <c:doughnutChart>
        <c:varyColors val="1"/>
        <c:ser>
          <c:idx val="0"/>
          <c:order val="0"/>
          <c:tx>
            <c:strRef>
              <c:f>'Pivot for Dashboard'!$AP$4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25-45C3-A4F8-C1E33CA683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25-45C3-A4F8-C1E33CA6831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25-45C3-A4F8-C1E33CA6831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25-45C3-A4F8-C1E33CA6831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for Dashboard'!$AO$5:$AO$8</c:f>
              <c:strCache>
                <c:ptCount val="4"/>
                <c:pt idx="0">
                  <c:v>Australia</c:v>
                </c:pt>
                <c:pt idx="1">
                  <c:v>Canada</c:v>
                </c:pt>
                <c:pt idx="2">
                  <c:v>UK</c:v>
                </c:pt>
                <c:pt idx="3">
                  <c:v>USA</c:v>
                </c:pt>
              </c:strCache>
            </c:strRef>
          </c:cat>
          <c:val>
            <c:numRef>
              <c:f>'Pivot for Dashboard'!$AP$5:$AP$8</c:f>
              <c:numCache>
                <c:formatCode>0%</c:formatCode>
                <c:ptCount val="4"/>
                <c:pt idx="0">
                  <c:v>7.9433497536945813E-2</c:v>
                </c:pt>
                <c:pt idx="1">
                  <c:v>0.35283251231527096</c:v>
                </c:pt>
                <c:pt idx="2">
                  <c:v>0.1539408866995074</c:v>
                </c:pt>
                <c:pt idx="3">
                  <c:v>0.41379310344827586</c:v>
                </c:pt>
              </c:numCache>
            </c:numRef>
          </c:val>
          <c:extLst>
            <c:ext xmlns:c16="http://schemas.microsoft.com/office/drawing/2014/chart" uri="{C3380CC4-5D6E-409C-BE32-E72D297353CC}">
              <c16:uniqueId val="{00000008-A725-45C3-A4F8-C1E33CA6831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Evaluation in Excel.xlsx.xlsm]Pivot for Dashboard!PivotTable15</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latin typeface="Comic Sans MS" panose="030F0702030302020204" pitchFamily="66" charset="0"/>
              </a:rPr>
              <a:t>SALES</a:t>
            </a:r>
            <a:r>
              <a:rPr lang="en-US" sz="2000" b="1" baseline="0">
                <a:latin typeface="Comic Sans MS" panose="030F0702030302020204" pitchFamily="66" charset="0"/>
              </a:rPr>
              <a:t> BY CUSTOMER</a:t>
            </a:r>
            <a:endParaRPr lang="en-US" sz="2000" b="1">
              <a:latin typeface="Comic Sans MS" panose="030F0702030302020204" pitchFamily="66"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for Dashboard'!$W$4</c:f>
              <c:strCache>
                <c:ptCount val="1"/>
                <c:pt idx="0">
                  <c:v>Total</c:v>
                </c:pt>
              </c:strCache>
            </c:strRef>
          </c:tx>
          <c:spPr>
            <a:solidFill>
              <a:schemeClr val="accent2"/>
            </a:solidFill>
            <a:ln>
              <a:noFill/>
            </a:ln>
            <a:effectLst/>
          </c:spPr>
          <c:invertIfNegative val="0"/>
          <c:cat>
            <c:strRef>
              <c:f>'Pivot for Dashboard'!$V$5:$V$14</c:f>
              <c:strCache>
                <c:ptCount val="10"/>
                <c:pt idx="0">
                  <c:v>C001</c:v>
                </c:pt>
                <c:pt idx="1">
                  <c:v>C002</c:v>
                </c:pt>
                <c:pt idx="2">
                  <c:v>C003</c:v>
                </c:pt>
                <c:pt idx="3">
                  <c:v>C004</c:v>
                </c:pt>
                <c:pt idx="4">
                  <c:v>C005</c:v>
                </c:pt>
                <c:pt idx="5">
                  <c:v>C006</c:v>
                </c:pt>
                <c:pt idx="6">
                  <c:v>C007</c:v>
                </c:pt>
                <c:pt idx="7">
                  <c:v>C008</c:v>
                </c:pt>
                <c:pt idx="8">
                  <c:v>C009</c:v>
                </c:pt>
                <c:pt idx="9">
                  <c:v>C010</c:v>
                </c:pt>
              </c:strCache>
            </c:strRef>
          </c:cat>
          <c:val>
            <c:numRef>
              <c:f>'Pivot for Dashboard'!$W$5:$W$14</c:f>
              <c:numCache>
                <c:formatCode>_(* #,##0_);_(* \(#,##0\);_(* "-"??_);_(@_)</c:formatCode>
                <c:ptCount val="10"/>
                <c:pt idx="0">
                  <c:v>2435</c:v>
                </c:pt>
                <c:pt idx="1">
                  <c:v>500</c:v>
                </c:pt>
                <c:pt idx="2">
                  <c:v>1260</c:v>
                </c:pt>
                <c:pt idx="3">
                  <c:v>260</c:v>
                </c:pt>
                <c:pt idx="4">
                  <c:v>360</c:v>
                </c:pt>
                <c:pt idx="5">
                  <c:v>1925</c:v>
                </c:pt>
                <c:pt idx="6">
                  <c:v>575</c:v>
                </c:pt>
                <c:pt idx="7">
                  <c:v>350</c:v>
                </c:pt>
                <c:pt idx="8">
                  <c:v>260</c:v>
                </c:pt>
                <c:pt idx="9">
                  <c:v>195</c:v>
                </c:pt>
              </c:numCache>
            </c:numRef>
          </c:val>
          <c:extLst>
            <c:ext xmlns:c16="http://schemas.microsoft.com/office/drawing/2014/chart" uri="{C3380CC4-5D6E-409C-BE32-E72D297353CC}">
              <c16:uniqueId val="{00000000-8FC9-4B35-9174-6A5F1E9A6716}"/>
            </c:ext>
          </c:extLst>
        </c:ser>
        <c:dLbls>
          <c:showLegendKey val="0"/>
          <c:showVal val="0"/>
          <c:showCatName val="0"/>
          <c:showSerName val="0"/>
          <c:showPercent val="0"/>
          <c:showBubbleSize val="0"/>
        </c:dLbls>
        <c:gapWidth val="182"/>
        <c:axId val="722354424"/>
        <c:axId val="722350824"/>
      </c:barChart>
      <c:catAx>
        <c:axId val="722354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722350824"/>
        <c:crosses val="autoZero"/>
        <c:auto val="1"/>
        <c:lblAlgn val="ctr"/>
        <c:lblOffset val="100"/>
        <c:noMultiLvlLbl val="0"/>
      </c:catAx>
      <c:valAx>
        <c:axId val="722350824"/>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722354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[Performance Evaluation in Excel.xlsx.xlsm]Pivot for Dashboard!PivotTable20</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800">
                <a:latin typeface="Comic Sans MS" panose="030F0702030302020204" pitchFamily="66" charset="0"/>
              </a:rPr>
              <a:t>MONTHLY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524322127038138E-2"/>
          <c:y val="2.4951816934398057E-2"/>
          <c:w val="0.87867371263104543"/>
          <c:h val="0.66878595844595123"/>
        </c:manualLayout>
      </c:layout>
      <c:lineChart>
        <c:grouping val="stacked"/>
        <c:varyColors val="0"/>
        <c:ser>
          <c:idx val="0"/>
          <c:order val="0"/>
          <c:tx>
            <c:strRef>
              <c:f>'Pivot for Dashboard'!$BN$5</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for Dashboard'!$BM$6:$BM$44</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2022</c:v>
                  </c:pt>
                  <c:pt idx="12">
                    <c:v>2023</c:v>
                  </c:pt>
                  <c:pt idx="24">
                    <c:v>2024</c:v>
                  </c:pt>
                </c:lvl>
              </c:multiLvlStrCache>
            </c:multiLvlStrRef>
          </c:cat>
          <c:val>
            <c:numRef>
              <c:f>'Pivot for Dashboard'!$BN$6:$BN$44</c:f>
              <c:numCache>
                <c:formatCode>_(* #,##0_);_(* \(#,##0\);_(* "-"??_);_(@_)</c:formatCode>
                <c:ptCount val="36"/>
                <c:pt idx="0">
                  <c:v>305</c:v>
                </c:pt>
                <c:pt idx="1">
                  <c:v>55</c:v>
                </c:pt>
                <c:pt idx="2">
                  <c:v>70</c:v>
                </c:pt>
                <c:pt idx="3">
                  <c:v>25</c:v>
                </c:pt>
                <c:pt idx="4">
                  <c:v>3</c:v>
                </c:pt>
                <c:pt idx="5">
                  <c:v>50</c:v>
                </c:pt>
                <c:pt idx="6">
                  <c:v>45</c:v>
                </c:pt>
                <c:pt idx="7">
                  <c:v>18</c:v>
                </c:pt>
                <c:pt idx="8">
                  <c:v>22</c:v>
                </c:pt>
                <c:pt idx="9">
                  <c:v>16</c:v>
                </c:pt>
                <c:pt idx="10">
                  <c:v>8</c:v>
                </c:pt>
                <c:pt idx="11">
                  <c:v>15</c:v>
                </c:pt>
                <c:pt idx="12">
                  <c:v>110</c:v>
                </c:pt>
                <c:pt idx="13">
                  <c:v>160</c:v>
                </c:pt>
                <c:pt idx="14">
                  <c:v>25</c:v>
                </c:pt>
                <c:pt idx="15">
                  <c:v>28</c:v>
                </c:pt>
                <c:pt idx="16">
                  <c:v>30</c:v>
                </c:pt>
                <c:pt idx="17">
                  <c:v>15</c:v>
                </c:pt>
                <c:pt idx="18">
                  <c:v>20</c:v>
                </c:pt>
                <c:pt idx="19">
                  <c:v>40</c:v>
                </c:pt>
                <c:pt idx="20">
                  <c:v>60</c:v>
                </c:pt>
                <c:pt idx="21">
                  <c:v>70</c:v>
                </c:pt>
                <c:pt idx="22">
                  <c:v>35</c:v>
                </c:pt>
                <c:pt idx="23">
                  <c:v>15</c:v>
                </c:pt>
                <c:pt idx="24">
                  <c:v>295</c:v>
                </c:pt>
                <c:pt idx="25">
                  <c:v>40</c:v>
                </c:pt>
                <c:pt idx="26">
                  <c:v>50</c:v>
                </c:pt>
                <c:pt idx="27">
                  <c:v>15</c:v>
                </c:pt>
                <c:pt idx="28">
                  <c:v>20</c:v>
                </c:pt>
                <c:pt idx="29">
                  <c:v>50</c:v>
                </c:pt>
                <c:pt idx="30">
                  <c:v>12</c:v>
                </c:pt>
                <c:pt idx="31">
                  <c:v>25</c:v>
                </c:pt>
                <c:pt idx="32">
                  <c:v>8</c:v>
                </c:pt>
                <c:pt idx="33">
                  <c:v>90</c:v>
                </c:pt>
                <c:pt idx="34">
                  <c:v>10</c:v>
                </c:pt>
                <c:pt idx="35">
                  <c:v>10</c:v>
                </c:pt>
              </c:numCache>
            </c:numRef>
          </c:val>
          <c:smooth val="0"/>
          <c:extLst>
            <c:ext xmlns:c16="http://schemas.microsoft.com/office/drawing/2014/chart" uri="{C3380CC4-5D6E-409C-BE32-E72D297353CC}">
              <c16:uniqueId val="{00000000-E776-4538-A070-5A2A4C9A9BBD}"/>
            </c:ext>
          </c:extLst>
        </c:ser>
        <c:dLbls>
          <c:dLblPos val="ctr"/>
          <c:showLegendKey val="0"/>
          <c:showVal val="1"/>
          <c:showCatName val="0"/>
          <c:showSerName val="0"/>
          <c:showPercent val="0"/>
          <c:showBubbleSize val="0"/>
        </c:dLbls>
        <c:marker val="1"/>
        <c:smooth val="0"/>
        <c:axId val="673268752"/>
        <c:axId val="673270552"/>
      </c:lineChart>
      <c:catAx>
        <c:axId val="6732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73270552"/>
        <c:crosses val="autoZero"/>
        <c:auto val="1"/>
        <c:lblAlgn val="ctr"/>
        <c:lblOffset val="100"/>
        <c:noMultiLvlLbl val="0"/>
      </c:catAx>
      <c:valAx>
        <c:axId val="6732705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7326875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[Performance Evaluation in Excel.xlsx.xlsm]Pivot for Dashboard!PivotTable21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latin typeface="Comic Sans MS" panose="030F0702030302020204" pitchFamily="66" charset="0"/>
              </a:rPr>
              <a:t>PRODUCTS PERCENTAGE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for Dashboard'!$CA$4</c:f>
              <c:strCache>
                <c:ptCount val="1"/>
                <c:pt idx="0">
                  <c:v>Total</c:v>
                </c:pt>
              </c:strCache>
            </c:strRef>
          </c:tx>
          <c:spPr>
            <a:solidFill>
              <a:schemeClr val="accent2"/>
            </a:solidFill>
            <a:ln>
              <a:noFill/>
            </a:ln>
            <a:effectLst/>
          </c:spPr>
          <c:cat>
            <c:strRef>
              <c:f>'Pivot for Dashboard'!$BZ$5:$BZ$48</c:f>
              <c:strCache>
                <c:ptCount val="44"/>
                <c:pt idx="0">
                  <c:v>Air Fryer</c:v>
                </c:pt>
                <c:pt idx="1">
                  <c:v>Autumn Scarf</c:v>
                </c:pt>
                <c:pt idx="2">
                  <c:v>Backpack</c:v>
                </c:pt>
                <c:pt idx="3">
                  <c:v>Blender</c:v>
                </c:pt>
                <c:pt idx="4">
                  <c:v>Boots</c:v>
                </c:pt>
                <c:pt idx="5">
                  <c:v>Camping Tent</c:v>
                </c:pt>
                <c:pt idx="6">
                  <c:v>Christmas Decor</c:v>
                </c:pt>
                <c:pt idx="7">
                  <c:v>Coffee Maker</c:v>
                </c:pt>
                <c:pt idx="8">
                  <c:v>Desk Lamp</c:v>
                </c:pt>
                <c:pt idx="9">
                  <c:v>Dress</c:v>
                </c:pt>
                <c:pt idx="10">
                  <c:v>E-Reader</c:v>
                </c:pt>
                <c:pt idx="11">
                  <c:v>External Hard Drive</c:v>
                </c:pt>
                <c:pt idx="12">
                  <c:v>Fitness Tracker</c:v>
                </c:pt>
                <c:pt idx="13">
                  <c:v>Gaming Headset</c:v>
                </c:pt>
                <c:pt idx="14">
                  <c:v>Gaming Monitor</c:v>
                </c:pt>
                <c:pt idx="15">
                  <c:v>Headphones</c:v>
                </c:pt>
                <c:pt idx="16">
                  <c:v>Jacket</c:v>
                </c:pt>
                <c:pt idx="17">
                  <c:v>Jeans</c:v>
                </c:pt>
                <c:pt idx="18">
                  <c:v>Keyboard</c:v>
                </c:pt>
                <c:pt idx="19">
                  <c:v>Laptop</c:v>
                </c:pt>
                <c:pt idx="20">
                  <c:v>Monitor</c:v>
                </c:pt>
                <c:pt idx="21">
                  <c:v>Mouse</c:v>
                </c:pt>
                <c:pt idx="22">
                  <c:v>New Laptop Model</c:v>
                </c:pt>
                <c:pt idx="23">
                  <c:v>Portable Speaker</c:v>
                </c:pt>
                <c:pt idx="24">
                  <c:v>Robot Vacuum</c:v>
                </c:pt>
                <c:pt idx="25">
                  <c:v>Running Shoes</c:v>
                </c:pt>
                <c:pt idx="26">
                  <c:v>Running Shorts</c:v>
                </c:pt>
                <c:pt idx="27">
                  <c:v>Smart Plug</c:v>
                </c:pt>
                <c:pt idx="28">
                  <c:v>Smart Scale</c:v>
                </c:pt>
                <c:pt idx="29">
                  <c:v>Smart Speaker</c:v>
                </c:pt>
                <c:pt idx="30">
                  <c:v>Smart Thermostat</c:v>
                </c:pt>
                <c:pt idx="31">
                  <c:v>Smart TV</c:v>
                </c:pt>
                <c:pt idx="32">
                  <c:v>Smartwatch</c:v>
                </c:pt>
                <c:pt idx="33">
                  <c:v>Sneakers</c:v>
                </c:pt>
                <c:pt idx="34">
                  <c:v>Socks</c:v>
                </c:pt>
                <c:pt idx="35">
                  <c:v>Spring Jacket</c:v>
                </c:pt>
                <c:pt idx="36">
                  <c:v>Summer Dress</c:v>
                </c:pt>
                <c:pt idx="37">
                  <c:v>Sweater</c:v>
                </c:pt>
                <c:pt idx="38">
                  <c:v>Tablet</c:v>
                </c:pt>
                <c:pt idx="39">
                  <c:v>T-Shirt</c:v>
                </c:pt>
                <c:pt idx="40">
                  <c:v>Webcam</c:v>
                </c:pt>
                <c:pt idx="41">
                  <c:v>Winter Coat</c:v>
                </c:pt>
                <c:pt idx="42">
                  <c:v>Winter Gloves</c:v>
                </c:pt>
                <c:pt idx="43">
                  <c:v>Wireless Earbuds</c:v>
                </c:pt>
              </c:strCache>
            </c:strRef>
          </c:cat>
          <c:val>
            <c:numRef>
              <c:f>'Pivot for Dashboard'!$CA$5:$CA$48</c:f>
              <c:numCache>
                <c:formatCode>0.0%</c:formatCode>
                <c:ptCount val="44"/>
                <c:pt idx="0">
                  <c:v>1.2315270935960592E-2</c:v>
                </c:pt>
                <c:pt idx="1">
                  <c:v>2.4630541871921183E-3</c:v>
                </c:pt>
                <c:pt idx="2">
                  <c:v>9.852216748768473E-3</c:v>
                </c:pt>
                <c:pt idx="3">
                  <c:v>1.1083743842364532E-2</c:v>
                </c:pt>
                <c:pt idx="4">
                  <c:v>1.3546798029556651E-2</c:v>
                </c:pt>
                <c:pt idx="5">
                  <c:v>2.4630541871921183E-2</c:v>
                </c:pt>
                <c:pt idx="6">
                  <c:v>6.1576354679802959E-3</c:v>
                </c:pt>
                <c:pt idx="7">
                  <c:v>8.6206896551724137E-3</c:v>
                </c:pt>
                <c:pt idx="8">
                  <c:v>4.3103448275862068E-3</c:v>
                </c:pt>
                <c:pt idx="9">
                  <c:v>1.2315270935960592E-2</c:v>
                </c:pt>
                <c:pt idx="10">
                  <c:v>1.2315270935960592E-2</c:v>
                </c:pt>
                <c:pt idx="11">
                  <c:v>9.852216748768473E-3</c:v>
                </c:pt>
                <c:pt idx="12">
                  <c:v>1.4778325123152709E-2</c:v>
                </c:pt>
                <c:pt idx="13">
                  <c:v>2.2167487684729065E-2</c:v>
                </c:pt>
                <c:pt idx="14">
                  <c:v>5.5418719211822662E-2</c:v>
                </c:pt>
                <c:pt idx="15">
                  <c:v>1.8472906403940888E-2</c:v>
                </c:pt>
                <c:pt idx="16">
                  <c:v>1.4778325123152709E-2</c:v>
                </c:pt>
                <c:pt idx="17">
                  <c:v>7.3891625615763543E-3</c:v>
                </c:pt>
                <c:pt idx="18">
                  <c:v>9.2364532019704442E-3</c:v>
                </c:pt>
                <c:pt idx="19">
                  <c:v>0.14778325123152711</c:v>
                </c:pt>
                <c:pt idx="20">
                  <c:v>3.6945812807881777E-2</c:v>
                </c:pt>
                <c:pt idx="21">
                  <c:v>3.6945812807881772E-3</c:v>
                </c:pt>
                <c:pt idx="22">
                  <c:v>0.16009852216748768</c:v>
                </c:pt>
                <c:pt idx="23">
                  <c:v>8.6206896551724137E-3</c:v>
                </c:pt>
                <c:pt idx="24">
                  <c:v>4.3103448275862072E-2</c:v>
                </c:pt>
                <c:pt idx="25">
                  <c:v>1.1699507389162561E-2</c:v>
                </c:pt>
                <c:pt idx="26">
                  <c:v>4.9261083743842365E-3</c:v>
                </c:pt>
                <c:pt idx="27">
                  <c:v>3.0788177339901479E-3</c:v>
                </c:pt>
                <c:pt idx="28">
                  <c:v>7.3891625615763543E-3</c:v>
                </c:pt>
                <c:pt idx="29">
                  <c:v>1.1083743842364532E-2</c:v>
                </c:pt>
                <c:pt idx="30">
                  <c:v>1.8472906403940888E-2</c:v>
                </c:pt>
                <c:pt idx="31">
                  <c:v>9.8522167487684734E-2</c:v>
                </c:pt>
                <c:pt idx="32">
                  <c:v>3.0788177339901478E-2</c:v>
                </c:pt>
                <c:pt idx="33">
                  <c:v>9.852216748768473E-3</c:v>
                </c:pt>
                <c:pt idx="34">
                  <c:v>1.2315270935960591E-3</c:v>
                </c:pt>
                <c:pt idx="35">
                  <c:v>1.600985221674877E-2</c:v>
                </c:pt>
                <c:pt idx="36">
                  <c:v>8.6206896551724137E-3</c:v>
                </c:pt>
                <c:pt idx="37">
                  <c:v>6.1576354679802959E-3</c:v>
                </c:pt>
                <c:pt idx="38">
                  <c:v>4.9261083743842367E-2</c:v>
                </c:pt>
                <c:pt idx="39">
                  <c:v>3.0788177339901479E-3</c:v>
                </c:pt>
                <c:pt idx="40">
                  <c:v>5.5418719211822662E-3</c:v>
                </c:pt>
                <c:pt idx="41">
                  <c:v>1.8472906403940888E-2</c:v>
                </c:pt>
                <c:pt idx="42">
                  <c:v>3.6945812807881772E-3</c:v>
                </c:pt>
                <c:pt idx="43">
                  <c:v>2.2167487684729065E-2</c:v>
                </c:pt>
              </c:numCache>
            </c:numRef>
          </c:val>
          <c:extLst>
            <c:ext xmlns:c16="http://schemas.microsoft.com/office/drawing/2014/chart" uri="{C3380CC4-5D6E-409C-BE32-E72D297353CC}">
              <c16:uniqueId val="{00000000-A3FF-4F2C-91EE-45234B58D1E4}"/>
            </c:ext>
          </c:extLst>
        </c:ser>
        <c:dLbls>
          <c:showLegendKey val="0"/>
          <c:showVal val="0"/>
          <c:showCatName val="0"/>
          <c:showSerName val="0"/>
          <c:showPercent val="0"/>
          <c:showBubbleSize val="0"/>
        </c:dLbls>
        <c:axId val="663658960"/>
        <c:axId val="663664720"/>
      </c:areaChart>
      <c:catAx>
        <c:axId val="6636589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63664720"/>
        <c:crosses val="autoZero"/>
        <c:auto val="1"/>
        <c:lblAlgn val="ctr"/>
        <c:lblOffset val="100"/>
        <c:noMultiLvlLbl val="0"/>
      </c:catAx>
      <c:valAx>
        <c:axId val="663664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6365896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PRODUCT CATEGORY PERCENTAGE</cx:v>
        </cx:txData>
      </cx:tx>
      <cx:txPr>
        <a:bodyPr spcFirstLastPara="1" vertOverflow="ellipsis" horzOverflow="overflow" wrap="square" lIns="0" tIns="0" rIns="0" bIns="0" anchor="ctr" anchorCtr="1"/>
        <a:lstStyle/>
        <a:p>
          <a:pPr algn="ctr" rtl="0">
            <a:defRPr/>
          </a:pPr>
          <a:r>
            <a:rPr lang="en-US" sz="1200" b="1" i="0" u="none" strike="noStrike" baseline="0">
              <a:solidFill>
                <a:sysClr val="windowText" lastClr="000000">
                  <a:lumMod val="65000"/>
                  <a:lumOff val="35000"/>
                </a:sysClr>
              </a:solidFill>
              <a:latin typeface="Comic Sans MS" panose="030F0702030302020204" pitchFamily="66" charset="0"/>
            </a:rPr>
            <a:t>PRODUCT CATEGORY PERCENTAGE</a:t>
          </a:r>
        </a:p>
      </cx:txPr>
    </cx:title>
    <cx:plotArea>
      <cx:plotAreaRegion>
        <cx:series layoutId="treemap" uniqueId="{FFD0B23C-213C-44BB-9ABA-F986FA4CA8D4}">
          <cx:dataLabels pos="inEnd">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_xlchart.v1.4</cx:f>
      </cx:numDim>
    </cx:data>
  </cx:chartData>
  <cx:chart>
    <cx:title pos="t" align="ctr" overlay="0">
      <cx:tx>
        <cx:txData>
          <cx:v>Per Year Products sales</cx:v>
        </cx:txData>
      </cx:tx>
      <cx:txPr>
        <a:bodyPr spcFirstLastPara="1" vertOverflow="ellipsis" horzOverflow="overflow" wrap="square" lIns="0" tIns="0" rIns="0" bIns="0" anchor="ctr" anchorCtr="1"/>
        <a:lstStyle/>
        <a:p>
          <a:pPr algn="ctr" rtl="0">
            <a:defRPr/>
          </a:pPr>
          <a:r>
            <a:rPr lang="en-US" sz="1050" b="1" i="0" u="none" strike="noStrike" baseline="0">
              <a:solidFill>
                <a:sysClr val="windowText" lastClr="000000">
                  <a:lumMod val="65000"/>
                  <a:lumOff val="35000"/>
                </a:sysClr>
              </a:solidFill>
              <a:latin typeface="Comic Sans MS" panose="030F0702030302020204" pitchFamily="66" charset="0"/>
            </a:rPr>
            <a:t>Per Year Products sales</a:t>
          </a:r>
        </a:p>
      </cx:txPr>
    </cx:title>
    <cx:plotArea>
      <cx:plotAreaRegion>
        <cx:series layoutId="sunburst" uniqueId="{B2BE3043-A30F-4604-8D31-B65BFCD72200}">
          <cx:tx>
            <cx:txData>
              <cx:f>_xlchart.v1.3</cx:f>
              <cx:v>Sales</cx:v>
            </cx:txData>
          </cx:tx>
          <cx:dataLabels>
            <cx:visibility seriesName="0" categoryName="1" value="1"/>
            <cx:separator>
</cx:separator>
          </cx:dataLabels>
          <cx:dataId val="0"/>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_xlchart.v1.5</cx:f>
      </cx:strDim>
      <cx:numDim type="size">
        <cx:f>_xlchart.v1.7</cx:f>
      </cx:numDim>
    </cx:data>
  </cx:chartData>
  <cx:chart>
    <cx:title pos="t" align="ctr" overlay="0">
      <cx:tx>
        <cx:txData>
          <cx:v>PRODUCTS SALES PER YEAR</cx:v>
        </cx:txData>
      </cx:tx>
      <cx:txPr>
        <a:bodyPr spcFirstLastPara="1" vertOverflow="ellipsis" horzOverflow="overflow" wrap="square" lIns="0" tIns="0" rIns="0" bIns="0" anchor="ctr" anchorCtr="1"/>
        <a:lstStyle/>
        <a:p>
          <a:pPr algn="ctr" rtl="0">
            <a:defRPr/>
          </a:pPr>
          <a:r>
            <a:rPr lang="en-US" sz="2000" b="1" i="0" u="none" strike="noStrike" baseline="0">
              <a:solidFill>
                <a:sysClr val="windowText" lastClr="000000">
                  <a:lumMod val="65000"/>
                  <a:lumOff val="35000"/>
                </a:sysClr>
              </a:solidFill>
              <a:latin typeface="Comic Sans MS" panose="030F0702030302020204" pitchFamily="66" charset="0"/>
            </a:rPr>
            <a:t>PRODUCTS SALES PER YEAR</a:t>
          </a:r>
        </a:p>
      </cx:txPr>
    </cx:title>
    <cx:plotArea>
      <cx:plotAreaRegion>
        <cx:series layoutId="sunburst" uniqueId="{B2BE3043-A30F-4604-8D31-B65BFCD72200}">
          <cx:tx>
            <cx:txData>
              <cx:f>_xlchart.v1.6</cx:f>
              <cx:v>Sales</cx:v>
            </cx:txData>
          </cx:tx>
          <cx:dataLabels>
            <cx:txPr>
              <a:bodyPr spcFirstLastPara="1" vertOverflow="ellipsis" horzOverflow="overflow" wrap="square" lIns="0" tIns="0" rIns="0" bIns="0" anchor="ctr" anchorCtr="1"/>
              <a:lstStyle/>
              <a:p>
                <a:pPr algn="ctr" rtl="0">
                  <a:defRPr sz="1100" b="1"/>
                </a:pPr>
                <a:endParaRPr lang="en-US" sz="1100" b="1" i="0" u="none" strike="noStrike" baseline="0">
                  <a:solidFill>
                    <a:sysClr val="window" lastClr="FFFFFF"/>
                  </a:solidFill>
                  <a:latin typeface="Calibri" panose="020F0502020204030204"/>
                </a:endParaRPr>
              </a:p>
            </cx:txPr>
            <cx:visibility seriesName="0" categoryName="1" value="1"/>
            <cx:separator>
</cx:separator>
          </cx:dataLabels>
          <cx:dataId val="0"/>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title pos="t" align="ctr" overlay="0">
      <cx:tx>
        <cx:txData>
          <cx:v>PRODUCT CATEGORY BY PERCENTAGE</cx:v>
        </cx:txData>
      </cx:tx>
      <cx:spPr>
        <a:noFill/>
        <a:ln>
          <a:noFill/>
        </a:ln>
      </cx:spPr>
      <cx:txPr>
        <a:bodyPr spcFirstLastPara="1" vertOverflow="ellipsis" horzOverflow="overflow" wrap="square" lIns="0" tIns="0" rIns="0" bIns="0" anchor="ctr" anchorCtr="1"/>
        <a:lstStyle/>
        <a:p>
          <a:pPr algn="ctr" rtl="0">
            <a:defRPr/>
          </a:pPr>
          <a:r>
            <a:rPr lang="en-US" sz="1100" b="1" i="0" u="none" strike="noStrike" baseline="0">
              <a:solidFill>
                <a:sysClr val="windowText" lastClr="000000">
                  <a:lumMod val="65000"/>
                  <a:lumOff val="35000"/>
                </a:sysClr>
              </a:solidFill>
              <a:latin typeface="Comic Sans MS" panose="030F0702030302020204" pitchFamily="66" charset="0"/>
            </a:rPr>
            <a:t>PRODUCT CATEGORY BY PERCENTAGE</a:t>
          </a:r>
        </a:p>
      </cx:txPr>
    </cx:title>
    <cx:plotArea>
      <cx:plotAreaRegion>
        <cx:series layoutId="treemap" uniqueId="{FFD0B23C-213C-44BB-9ABA-F986FA4CA8D4}">
          <cx:dataLabels pos="inEnd">
            <cx:txPr>
              <a:bodyPr spcFirstLastPara="1" vertOverflow="ellipsis" horzOverflow="overflow" wrap="square" lIns="0" tIns="0" rIns="0" bIns="0" anchor="ctr" anchorCtr="1"/>
              <a:lstStyle/>
              <a:p>
                <a:pPr algn="ctr" rtl="0">
                  <a:defRPr sz="1000" b="1"/>
                </a:pPr>
                <a:endParaRPr lang="en-US" sz="1000" b="1"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5">
  <a:schemeClr val="accent2"/>
</cs:colorStyle>
</file>

<file path=xl/charts/colors16.xml><?xml version="1.0" encoding="utf-8"?>
<cs:colorStyle xmlns:cs="http://schemas.microsoft.com/office/drawing/2012/chartStyle" xmlns:a="http://schemas.openxmlformats.org/drawingml/2006/main" meth="withinLinear" id="15">
  <a:schemeClr val="accent2"/>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croll" dx="22" fmlaLink="$Z$4" max="10" min="1" noThreeD="1" page="5"/>
</file>

<file path=xl/ctrlProps/ctrlProp3.xml><?xml version="1.0" encoding="utf-8"?>
<formControlPr xmlns="http://schemas.microsoft.com/office/spreadsheetml/2009/9/main" objectType="Scroll" dx="22" fmlaLink="$Z$4" max="10" min="1" page="5"/>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7" Type="http://schemas.microsoft.com/office/2014/relationships/chartEx" Target="../charts/chartEx2.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8.xml"/><Relationship Id="rId5" Type="http://schemas.openxmlformats.org/officeDocument/2006/relationships/chart" Target="../charts/chart7.xml"/><Relationship Id="rId4" Type="http://schemas.microsoft.com/office/2014/relationships/chartEx" Target="../charts/chartEx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0.xml"/><Relationship Id="rId13" Type="http://schemas.microsoft.com/office/2014/relationships/chartEx" Target="../charts/chartEx4.xml"/><Relationship Id="rId3" Type="http://schemas.openxmlformats.org/officeDocument/2006/relationships/image" Target="../media/image3.jpeg"/><Relationship Id="rId7" Type="http://schemas.openxmlformats.org/officeDocument/2006/relationships/chart" Target="../charts/chart9.xml"/><Relationship Id="rId12" Type="http://schemas.openxmlformats.org/officeDocument/2006/relationships/chart" Target="../charts/chart1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chart" Target="../charts/chart12.xml"/><Relationship Id="rId5" Type="http://schemas.openxmlformats.org/officeDocument/2006/relationships/image" Target="../media/image5.png"/><Relationship Id="rId10" Type="http://schemas.microsoft.com/office/2014/relationships/chartEx" Target="../charts/chartEx3.xml"/><Relationship Id="rId4" Type="http://schemas.openxmlformats.org/officeDocument/2006/relationships/image" Target="../media/image4.png"/><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2</xdr:col>
      <xdr:colOff>19049</xdr:colOff>
      <xdr:row>8</xdr:row>
      <xdr:rowOff>85725</xdr:rowOff>
    </xdr:from>
    <xdr:to>
      <xdr:col>9</xdr:col>
      <xdr:colOff>323849</xdr:colOff>
      <xdr:row>11</xdr:row>
      <xdr:rowOff>123825</xdr:rowOff>
    </xdr:to>
    <mc:AlternateContent xmlns:mc="http://schemas.openxmlformats.org/markup-compatibility/2006" xmlns:a14="http://schemas.microsoft.com/office/drawing/2010/main">
      <mc:Choice Requires="a14">
        <xdr:graphicFrame macro="">
          <xdr:nvGraphicFramePr>
            <xdr:cNvPr id="5" name="Country">
              <a:extLst>
                <a:ext uri="{FF2B5EF4-FFF2-40B4-BE49-F238E27FC236}">
                  <a16:creationId xmlns:a16="http://schemas.microsoft.com/office/drawing/2014/main" id="{7D2D5DD2-E956-82E3-BEEC-69E5EF9753E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095499" y="1666875"/>
              <a:ext cx="6086475" cy="657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371475</xdr:colOff>
      <xdr:row>9</xdr:row>
      <xdr:rowOff>0</xdr:rowOff>
    </xdr:from>
    <xdr:to>
      <xdr:col>16</xdr:col>
      <xdr:colOff>390525</xdr:colOff>
      <xdr:row>23</xdr:row>
      <xdr:rowOff>57150</xdr:rowOff>
    </xdr:to>
    <xdr:sp macro="" textlink="">
      <xdr:nvSpPr>
        <xdr:cNvPr id="2" name="Arrow: Down 1">
          <a:extLst>
            <a:ext uri="{FF2B5EF4-FFF2-40B4-BE49-F238E27FC236}">
              <a16:creationId xmlns:a16="http://schemas.microsoft.com/office/drawing/2014/main" id="{8D95585E-9B8E-69D4-3309-604F1BF32C71}"/>
            </a:ext>
          </a:extLst>
        </xdr:cNvPr>
        <xdr:cNvSpPr/>
      </xdr:nvSpPr>
      <xdr:spPr>
        <a:xfrm>
          <a:off x="13449300" y="1800225"/>
          <a:ext cx="1238250" cy="2733675"/>
        </a:xfrm>
        <a:prstGeom prst="down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504824</xdr:colOff>
      <xdr:row>1</xdr:row>
      <xdr:rowOff>190499</xdr:rowOff>
    </xdr:from>
    <xdr:to>
      <xdr:col>25</xdr:col>
      <xdr:colOff>581024</xdr:colOff>
      <xdr:row>14</xdr:row>
      <xdr:rowOff>123825</xdr:rowOff>
    </xdr:to>
    <xdr:graphicFrame macro="">
      <xdr:nvGraphicFramePr>
        <xdr:cNvPr id="2" name="Chart 1">
          <a:extLst>
            <a:ext uri="{FF2B5EF4-FFF2-40B4-BE49-F238E27FC236}">
              <a16:creationId xmlns:a16="http://schemas.microsoft.com/office/drawing/2014/main" id="{522C3E8C-4C20-EB83-E0C0-0A104329F9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9525</xdr:colOff>
      <xdr:row>18</xdr:row>
      <xdr:rowOff>9525</xdr:rowOff>
    </xdr:from>
    <xdr:to>
      <xdr:col>11</xdr:col>
      <xdr:colOff>9525</xdr:colOff>
      <xdr:row>28</xdr:row>
      <xdr:rowOff>114300</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40406258-7780-4FB5-E9B1-85FBC5C0354C}"/>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5676900" y="3590925"/>
              <a:ext cx="1828800" cy="2009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104775</xdr:colOff>
      <xdr:row>31</xdr:row>
      <xdr:rowOff>14287</xdr:rowOff>
    </xdr:from>
    <xdr:to>
      <xdr:col>13</xdr:col>
      <xdr:colOff>685800</xdr:colOff>
      <xdr:row>45</xdr:row>
      <xdr:rowOff>90487</xdr:rowOff>
    </xdr:to>
    <xdr:graphicFrame macro="">
      <xdr:nvGraphicFramePr>
        <xdr:cNvPr id="4" name="Chart 3">
          <a:extLst>
            <a:ext uri="{FF2B5EF4-FFF2-40B4-BE49-F238E27FC236}">
              <a16:creationId xmlns:a16="http://schemas.microsoft.com/office/drawing/2014/main" id="{C7F1989C-2C49-AFFE-1677-10EE9D8C21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781050</xdr:colOff>
      <xdr:row>31</xdr:row>
      <xdr:rowOff>0</xdr:rowOff>
    </xdr:from>
    <xdr:to>
      <xdr:col>16</xdr:col>
      <xdr:colOff>209550</xdr:colOff>
      <xdr:row>44</xdr:row>
      <xdr:rowOff>47625</xdr:rowOff>
    </xdr:to>
    <mc:AlternateContent xmlns:mc="http://schemas.openxmlformats.org/markup-compatibility/2006" xmlns:a14="http://schemas.microsoft.com/office/drawing/2010/main">
      <mc:Choice Requires="a14">
        <xdr:graphicFrame macro="">
          <xdr:nvGraphicFramePr>
            <xdr:cNvPr id="5" name="Country 2">
              <a:extLst>
                <a:ext uri="{FF2B5EF4-FFF2-40B4-BE49-F238E27FC236}">
                  <a16:creationId xmlns:a16="http://schemas.microsoft.com/office/drawing/2014/main" id="{644D7DFF-28B1-2204-3616-D4F231974C15}"/>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10439400" y="605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3</xdr:row>
      <xdr:rowOff>109537</xdr:rowOff>
    </xdr:from>
    <xdr:to>
      <xdr:col>17</xdr:col>
      <xdr:colOff>57150</xdr:colOff>
      <xdr:row>18</xdr:row>
      <xdr:rowOff>185737</xdr:rowOff>
    </xdr:to>
    <xdr:graphicFrame macro="">
      <xdr:nvGraphicFramePr>
        <xdr:cNvPr id="2" name="Chart 1">
          <a:extLst>
            <a:ext uri="{FF2B5EF4-FFF2-40B4-BE49-F238E27FC236}">
              <a16:creationId xmlns:a16="http://schemas.microsoft.com/office/drawing/2014/main" id="{CCA15D35-7531-DC56-F0F9-78599337DF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400050</xdr:colOff>
          <xdr:row>7</xdr:row>
          <xdr:rowOff>133350</xdr:rowOff>
        </xdr:from>
        <xdr:to>
          <xdr:col>16</xdr:col>
          <xdr:colOff>342900</xdr:colOff>
          <xdr:row>10</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Format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342899</xdr:colOff>
      <xdr:row>3</xdr:row>
      <xdr:rowOff>33337</xdr:rowOff>
    </xdr:from>
    <xdr:to>
      <xdr:col>19</xdr:col>
      <xdr:colOff>542924</xdr:colOff>
      <xdr:row>16</xdr:row>
      <xdr:rowOff>19050</xdr:rowOff>
    </xdr:to>
    <xdr:graphicFrame macro="">
      <xdr:nvGraphicFramePr>
        <xdr:cNvPr id="3" name="Chart 2">
          <a:extLst>
            <a:ext uri="{FF2B5EF4-FFF2-40B4-BE49-F238E27FC236}">
              <a16:creationId xmlns:a16="http://schemas.microsoft.com/office/drawing/2014/main" id="{FCB1D2AF-1D0D-2371-0384-3164EBA50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409575</xdr:colOff>
          <xdr:row>4</xdr:row>
          <xdr:rowOff>95250</xdr:rowOff>
        </xdr:from>
        <xdr:to>
          <xdr:col>24</xdr:col>
          <xdr:colOff>38100</xdr:colOff>
          <xdr:row>20</xdr:row>
          <xdr:rowOff>76200</xdr:rowOff>
        </xdr:to>
        <xdr:sp macro="" textlink="">
          <xdr:nvSpPr>
            <xdr:cNvPr id="14370" name="Scroll Bar 34" hidden="1">
              <a:extLst>
                <a:ext uri="{63B3BB69-23CF-44E3-9099-C40C66FF867C}">
                  <a14:compatExt spid="_x0000_s14370"/>
                </a:ext>
                <a:ext uri="{FF2B5EF4-FFF2-40B4-BE49-F238E27FC236}">
                  <a16:creationId xmlns:a16="http://schemas.microsoft.com/office/drawing/2014/main" id="{00000000-0008-0000-0900-00002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30</xdr:col>
      <xdr:colOff>57150</xdr:colOff>
      <xdr:row>3</xdr:row>
      <xdr:rowOff>4762</xdr:rowOff>
    </xdr:from>
    <xdr:to>
      <xdr:col>37</xdr:col>
      <xdr:colOff>361950</xdr:colOff>
      <xdr:row>17</xdr:row>
      <xdr:rowOff>80962</xdr:rowOff>
    </xdr:to>
    <xdr:graphicFrame macro="">
      <xdr:nvGraphicFramePr>
        <xdr:cNvPr id="4" name="Chart 3">
          <a:extLst>
            <a:ext uri="{FF2B5EF4-FFF2-40B4-BE49-F238E27FC236}">
              <a16:creationId xmlns:a16="http://schemas.microsoft.com/office/drawing/2014/main" id="{6646099B-9F06-AF73-A91D-EA764E54AF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85725</xdr:colOff>
      <xdr:row>3</xdr:row>
      <xdr:rowOff>4763</xdr:rowOff>
    </xdr:from>
    <xdr:to>
      <xdr:col>47</xdr:col>
      <xdr:colOff>247650</xdr:colOff>
      <xdr:row>13</xdr:row>
      <xdr:rowOff>114301</xdr:rowOff>
    </xdr:to>
    <xdr:graphicFrame macro="">
      <xdr:nvGraphicFramePr>
        <xdr:cNvPr id="6" name="Chart 5">
          <a:extLst>
            <a:ext uri="{FF2B5EF4-FFF2-40B4-BE49-F238E27FC236}">
              <a16:creationId xmlns:a16="http://schemas.microsoft.com/office/drawing/2014/main" id="{E7EB0A2B-8405-F9CB-98E0-09EE3B958C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54</xdr:col>
      <xdr:colOff>219074</xdr:colOff>
      <xdr:row>19</xdr:row>
      <xdr:rowOff>133350</xdr:rowOff>
    </xdr:from>
    <xdr:to>
      <xdr:col>63</xdr:col>
      <xdr:colOff>171449</xdr:colOff>
      <xdr:row>34</xdr:row>
      <xdr:rowOff>114300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877A041-85E2-50C3-1793-CF6C3CD82DB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6623624" y="2228850"/>
              <a:ext cx="5438775" cy="28384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66</xdr:col>
      <xdr:colOff>380999</xdr:colOff>
      <xdr:row>3</xdr:row>
      <xdr:rowOff>185737</xdr:rowOff>
    </xdr:from>
    <xdr:to>
      <xdr:col>74</xdr:col>
      <xdr:colOff>485774</xdr:colOff>
      <xdr:row>26</xdr:row>
      <xdr:rowOff>123825</xdr:rowOff>
    </xdr:to>
    <xdr:graphicFrame macro="">
      <xdr:nvGraphicFramePr>
        <xdr:cNvPr id="8" name="Chart 7">
          <a:extLst>
            <a:ext uri="{FF2B5EF4-FFF2-40B4-BE49-F238E27FC236}">
              <a16:creationId xmlns:a16="http://schemas.microsoft.com/office/drawing/2014/main" id="{238C2FB4-5577-AC60-88D6-37E8117806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79</xdr:col>
      <xdr:colOff>390525</xdr:colOff>
      <xdr:row>2</xdr:row>
      <xdr:rowOff>138110</xdr:rowOff>
    </xdr:from>
    <xdr:to>
      <xdr:col>88</xdr:col>
      <xdr:colOff>28575</xdr:colOff>
      <xdr:row>26</xdr:row>
      <xdr:rowOff>152399</xdr:rowOff>
    </xdr:to>
    <xdr:graphicFrame macro="">
      <xdr:nvGraphicFramePr>
        <xdr:cNvPr id="9" name="Chart 8">
          <a:extLst>
            <a:ext uri="{FF2B5EF4-FFF2-40B4-BE49-F238E27FC236}">
              <a16:creationId xmlns:a16="http://schemas.microsoft.com/office/drawing/2014/main" id="{32B6860F-D63C-FFC2-84BA-D7F51FE34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39</xdr:col>
      <xdr:colOff>0</xdr:colOff>
      <xdr:row>16</xdr:row>
      <xdr:rowOff>9525</xdr:rowOff>
    </xdr:from>
    <xdr:to>
      <xdr:col>41</xdr:col>
      <xdr:colOff>342900</xdr:colOff>
      <xdr:row>29</xdr:row>
      <xdr:rowOff>57150</xdr:rowOff>
    </xdr:to>
    <mc:AlternateContent xmlns:mc="http://schemas.openxmlformats.org/markup-compatibility/2006" xmlns:a14="http://schemas.microsoft.com/office/drawing/2010/main">
      <mc:Choice Requires="a14">
        <xdr:graphicFrame macro="">
          <xdr:nvGraphicFramePr>
            <xdr:cNvPr id="10" name="Months (Order Date)">
              <a:extLst>
                <a:ext uri="{FF2B5EF4-FFF2-40B4-BE49-F238E27FC236}">
                  <a16:creationId xmlns:a16="http://schemas.microsoft.com/office/drawing/2014/main" id="{6865C839-D451-1C2A-C0EB-E1AE3D166509}"/>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26327100" y="1533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257175</xdr:colOff>
      <xdr:row>15</xdr:row>
      <xdr:rowOff>171451</xdr:rowOff>
    </xdr:from>
    <xdr:to>
      <xdr:col>47</xdr:col>
      <xdr:colOff>47625</xdr:colOff>
      <xdr:row>19</xdr:row>
      <xdr:rowOff>57150</xdr:rowOff>
    </xdr:to>
    <mc:AlternateContent xmlns:mc="http://schemas.openxmlformats.org/markup-compatibility/2006" xmlns:a14="http://schemas.microsoft.com/office/drawing/2010/main">
      <mc:Choice Requires="a14">
        <xdr:graphicFrame macro="">
          <xdr:nvGraphicFramePr>
            <xdr:cNvPr id="11" name="Years (Order Date)">
              <a:extLst>
                <a:ext uri="{FF2B5EF4-FFF2-40B4-BE49-F238E27FC236}">
                  <a16:creationId xmlns:a16="http://schemas.microsoft.com/office/drawing/2014/main" id="{FC3A5E29-AEB5-A0BB-E8A3-E54094A8DB58}"/>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28879800" y="1524000"/>
              <a:ext cx="2838450" cy="628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97</xdr:col>
      <xdr:colOff>247650</xdr:colOff>
      <xdr:row>3</xdr:row>
      <xdr:rowOff>4762</xdr:rowOff>
    </xdr:from>
    <xdr:to>
      <xdr:col>104</xdr:col>
      <xdr:colOff>590550</xdr:colOff>
      <xdr:row>22</xdr:row>
      <xdr:rowOff>114300</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24366AB7-A16C-E8A2-9F91-51B1ACC471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6236850" y="576262"/>
              <a:ext cx="4610100" cy="2205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97</xdr:col>
      <xdr:colOff>542925</xdr:colOff>
      <xdr:row>23</xdr:row>
      <xdr:rowOff>180976</xdr:rowOff>
    </xdr:from>
    <xdr:to>
      <xdr:col>102</xdr:col>
      <xdr:colOff>257175</xdr:colOff>
      <xdr:row>26</xdr:row>
      <xdr:rowOff>142875</xdr:rowOff>
    </xdr:to>
    <mc:AlternateContent xmlns:mc="http://schemas.openxmlformats.org/markup-compatibility/2006" xmlns:sle15="http://schemas.microsoft.com/office/drawing/2012/slicer">
      <mc:Choice Requires="sle15">
        <xdr:graphicFrame macro="">
          <xdr:nvGraphicFramePr>
            <xdr:cNvPr id="13" name="Years (Order Date) 2">
              <a:extLst>
                <a:ext uri="{FF2B5EF4-FFF2-40B4-BE49-F238E27FC236}">
                  <a16:creationId xmlns:a16="http://schemas.microsoft.com/office/drawing/2014/main" id="{8C887C01-E024-3ABD-7021-FB86709553BA}"/>
                </a:ext>
              </a:extLst>
            </xdr:cNvPr>
            <xdr:cNvGraphicFramePr/>
          </xdr:nvGraphicFramePr>
          <xdr:xfrm>
            <a:off x="0" y="0"/>
            <a:ext cx="0" cy="0"/>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66532125" y="3038476"/>
              <a:ext cx="2762250" cy="5333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xdr:col>
      <xdr:colOff>133350</xdr:colOff>
      <xdr:row>21</xdr:row>
      <xdr:rowOff>133350</xdr:rowOff>
    </xdr:from>
    <xdr:to>
      <xdr:col>6</xdr:col>
      <xdr:colOff>95250</xdr:colOff>
      <xdr:row>26</xdr:row>
      <xdr:rowOff>66675</xdr:rowOff>
    </xdr:to>
    <xdr:sp macro="" textlink="">
      <xdr:nvSpPr>
        <xdr:cNvPr id="14" name="Arrow: Right 13">
          <a:extLst>
            <a:ext uri="{FF2B5EF4-FFF2-40B4-BE49-F238E27FC236}">
              <a16:creationId xmlns:a16="http://schemas.microsoft.com/office/drawing/2014/main" id="{CBF13C97-F955-6273-4AC0-10C4E775DE1F}"/>
            </a:ext>
          </a:extLst>
        </xdr:cNvPr>
        <xdr:cNvSpPr/>
      </xdr:nvSpPr>
      <xdr:spPr>
        <a:xfrm>
          <a:off x="1619250" y="2609850"/>
          <a:ext cx="3248025" cy="885825"/>
        </a:xfrm>
        <a:prstGeom prst="right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180974</xdr:colOff>
      <xdr:row>0</xdr:row>
      <xdr:rowOff>171450</xdr:rowOff>
    </xdr:from>
    <xdr:to>
      <xdr:col>26</xdr:col>
      <xdr:colOff>419100</xdr:colOff>
      <xdr:row>36</xdr:row>
      <xdr:rowOff>37522</xdr:rowOff>
    </xdr:to>
    <xdr:sp macro="" textlink="">
      <xdr:nvSpPr>
        <xdr:cNvPr id="18" name="Rectangle: Rounded Corners 17">
          <a:extLst>
            <a:ext uri="{FF2B5EF4-FFF2-40B4-BE49-F238E27FC236}">
              <a16:creationId xmlns:a16="http://schemas.microsoft.com/office/drawing/2014/main" id="{5856ACD4-0021-9BCC-BC52-0A3484E8BAFA}"/>
            </a:ext>
          </a:extLst>
        </xdr:cNvPr>
        <xdr:cNvSpPr/>
      </xdr:nvSpPr>
      <xdr:spPr>
        <a:xfrm>
          <a:off x="180974" y="171450"/>
          <a:ext cx="16087726" cy="7352722"/>
        </a:xfrm>
        <a:prstGeom prst="roundRect">
          <a:avLst>
            <a:gd name="adj" fmla="val 458"/>
          </a:avLst>
        </a:prstGeom>
        <a:solidFill>
          <a:schemeClr val="bg1">
            <a:lumMod val="8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318366</xdr:colOff>
      <xdr:row>1</xdr:row>
      <xdr:rowOff>143452</xdr:rowOff>
    </xdr:from>
    <xdr:to>
      <xdr:col>7</xdr:col>
      <xdr:colOff>22802</xdr:colOff>
      <xdr:row>6</xdr:row>
      <xdr:rowOff>31461</xdr:rowOff>
    </xdr:to>
    <xdr:sp macro="" textlink="">
      <xdr:nvSpPr>
        <xdr:cNvPr id="19" name="Rectangle: Rounded Corners 18">
          <a:extLst>
            <a:ext uri="{FF2B5EF4-FFF2-40B4-BE49-F238E27FC236}">
              <a16:creationId xmlns:a16="http://schemas.microsoft.com/office/drawing/2014/main" id="{8DAEA1B4-E812-8DC9-3B17-3B04970ED758}"/>
            </a:ext>
          </a:extLst>
        </xdr:cNvPr>
        <xdr:cNvSpPr/>
      </xdr:nvSpPr>
      <xdr:spPr>
        <a:xfrm>
          <a:off x="318366" y="333952"/>
          <a:ext cx="3971636" cy="840509"/>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7</xdr:col>
      <xdr:colOff>75909</xdr:colOff>
      <xdr:row>1</xdr:row>
      <xdr:rowOff>138832</xdr:rowOff>
    </xdr:from>
    <xdr:to>
      <xdr:col>11</xdr:col>
      <xdr:colOff>542925</xdr:colOff>
      <xdr:row>6</xdr:row>
      <xdr:rowOff>26841</xdr:rowOff>
    </xdr:to>
    <xdr:sp macro="" textlink="">
      <xdr:nvSpPr>
        <xdr:cNvPr id="20" name="Rectangle: Rounded Corners 19">
          <a:extLst>
            <a:ext uri="{FF2B5EF4-FFF2-40B4-BE49-F238E27FC236}">
              <a16:creationId xmlns:a16="http://schemas.microsoft.com/office/drawing/2014/main" id="{2E870222-21B9-D8F8-4503-DACEFDB45FE0}"/>
            </a:ext>
          </a:extLst>
        </xdr:cNvPr>
        <xdr:cNvSpPr/>
      </xdr:nvSpPr>
      <xdr:spPr>
        <a:xfrm>
          <a:off x="4343109" y="329332"/>
          <a:ext cx="2905416" cy="840509"/>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2000" b="1">
            <a:solidFill>
              <a:sysClr val="windowText" lastClr="000000"/>
            </a:solidFill>
            <a:latin typeface="Comic Sans MS" panose="030F0702030302020204" pitchFamily="66" charset="0"/>
          </a:endParaRPr>
        </a:p>
      </xdr:txBody>
    </xdr:sp>
    <xdr:clientData/>
  </xdr:twoCellAnchor>
  <xdr:twoCellAnchor>
    <xdr:from>
      <xdr:col>12</xdr:col>
      <xdr:colOff>5194</xdr:colOff>
      <xdr:row>1</xdr:row>
      <xdr:rowOff>148356</xdr:rowOff>
    </xdr:from>
    <xdr:to>
      <xdr:col>16</xdr:col>
      <xdr:colOff>285750</xdr:colOff>
      <xdr:row>6</xdr:row>
      <xdr:rowOff>36365</xdr:rowOff>
    </xdr:to>
    <xdr:sp macro="" textlink="">
      <xdr:nvSpPr>
        <xdr:cNvPr id="21" name="Rectangle: Rounded Corners 20">
          <a:extLst>
            <a:ext uri="{FF2B5EF4-FFF2-40B4-BE49-F238E27FC236}">
              <a16:creationId xmlns:a16="http://schemas.microsoft.com/office/drawing/2014/main" id="{43F097D4-B944-D705-FA72-38B6BDE4134D}"/>
            </a:ext>
          </a:extLst>
        </xdr:cNvPr>
        <xdr:cNvSpPr/>
      </xdr:nvSpPr>
      <xdr:spPr>
        <a:xfrm>
          <a:off x="7320394" y="338856"/>
          <a:ext cx="2718956" cy="840509"/>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16</xdr:col>
      <xdr:colOff>354158</xdr:colOff>
      <xdr:row>1</xdr:row>
      <xdr:rowOff>167406</xdr:rowOff>
    </xdr:from>
    <xdr:to>
      <xdr:col>20</xdr:col>
      <xdr:colOff>209550</xdr:colOff>
      <xdr:row>6</xdr:row>
      <xdr:rowOff>55415</xdr:rowOff>
    </xdr:to>
    <xdr:sp macro="" textlink="">
      <xdr:nvSpPr>
        <xdr:cNvPr id="22" name="Rectangle: Rounded Corners 21">
          <a:extLst>
            <a:ext uri="{FF2B5EF4-FFF2-40B4-BE49-F238E27FC236}">
              <a16:creationId xmlns:a16="http://schemas.microsoft.com/office/drawing/2014/main" id="{3E382A4D-AE66-6728-CC72-E0DED0E25608}"/>
            </a:ext>
          </a:extLst>
        </xdr:cNvPr>
        <xdr:cNvSpPr/>
      </xdr:nvSpPr>
      <xdr:spPr>
        <a:xfrm>
          <a:off x="10107758" y="357906"/>
          <a:ext cx="2293792" cy="840509"/>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20</xdr:col>
      <xdr:colOff>292100</xdr:colOff>
      <xdr:row>1</xdr:row>
      <xdr:rowOff>167408</xdr:rowOff>
    </xdr:from>
    <xdr:to>
      <xdr:col>26</xdr:col>
      <xdr:colOff>323850</xdr:colOff>
      <xdr:row>6</xdr:row>
      <xdr:rowOff>55417</xdr:rowOff>
    </xdr:to>
    <xdr:sp macro="" textlink="">
      <xdr:nvSpPr>
        <xdr:cNvPr id="23" name="Rectangle: Rounded Corners 22">
          <a:extLst>
            <a:ext uri="{FF2B5EF4-FFF2-40B4-BE49-F238E27FC236}">
              <a16:creationId xmlns:a16="http://schemas.microsoft.com/office/drawing/2014/main" id="{121B4C55-9C47-6363-C8FB-5A8EA1EBD8E9}"/>
            </a:ext>
          </a:extLst>
        </xdr:cNvPr>
        <xdr:cNvSpPr/>
      </xdr:nvSpPr>
      <xdr:spPr>
        <a:xfrm>
          <a:off x="12484100" y="357908"/>
          <a:ext cx="3689350" cy="840509"/>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244476</xdr:colOff>
      <xdr:row>7</xdr:row>
      <xdr:rowOff>51089</xdr:rowOff>
    </xdr:from>
    <xdr:to>
      <xdr:col>3</xdr:col>
      <xdr:colOff>333375</xdr:colOff>
      <xdr:row>9</xdr:row>
      <xdr:rowOff>123825</xdr:rowOff>
    </xdr:to>
    <xdr:sp macro="" textlink="">
      <xdr:nvSpPr>
        <xdr:cNvPr id="24" name="Rectangle: Rounded Corners 23">
          <a:extLst>
            <a:ext uri="{FF2B5EF4-FFF2-40B4-BE49-F238E27FC236}">
              <a16:creationId xmlns:a16="http://schemas.microsoft.com/office/drawing/2014/main" id="{41C1F4A1-1A05-5F18-6807-D650475473C5}"/>
            </a:ext>
          </a:extLst>
        </xdr:cNvPr>
        <xdr:cNvSpPr/>
      </xdr:nvSpPr>
      <xdr:spPr>
        <a:xfrm>
          <a:off x="244476" y="1384589"/>
          <a:ext cx="1917699" cy="663286"/>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219076</xdr:colOff>
      <xdr:row>10</xdr:row>
      <xdr:rowOff>133350</xdr:rowOff>
    </xdr:from>
    <xdr:to>
      <xdr:col>3</xdr:col>
      <xdr:colOff>333376</xdr:colOff>
      <xdr:row>23</xdr:row>
      <xdr:rowOff>178954</xdr:rowOff>
    </xdr:to>
    <xdr:sp macro="" textlink="">
      <xdr:nvSpPr>
        <xdr:cNvPr id="25" name="Rectangle: Rounded Corners 24">
          <a:extLst>
            <a:ext uri="{FF2B5EF4-FFF2-40B4-BE49-F238E27FC236}">
              <a16:creationId xmlns:a16="http://schemas.microsoft.com/office/drawing/2014/main" id="{C0CB2CAA-DC64-51D6-7F49-C47A90578631}"/>
            </a:ext>
          </a:extLst>
        </xdr:cNvPr>
        <xdr:cNvSpPr/>
      </xdr:nvSpPr>
      <xdr:spPr>
        <a:xfrm>
          <a:off x="219076" y="2247900"/>
          <a:ext cx="1943100" cy="2941204"/>
        </a:xfrm>
        <a:prstGeom prst="roundRect">
          <a:avLst>
            <a:gd name="adj" fmla="val 2779"/>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234951</xdr:colOff>
      <xdr:row>26</xdr:row>
      <xdr:rowOff>79085</xdr:rowOff>
    </xdr:from>
    <xdr:to>
      <xdr:col>3</xdr:col>
      <xdr:colOff>381000</xdr:colOff>
      <xdr:row>35</xdr:row>
      <xdr:rowOff>114300</xdr:rowOff>
    </xdr:to>
    <xdr:sp macro="" textlink="">
      <xdr:nvSpPr>
        <xdr:cNvPr id="26" name="Rectangle: Rounded Corners 25">
          <a:extLst>
            <a:ext uri="{FF2B5EF4-FFF2-40B4-BE49-F238E27FC236}">
              <a16:creationId xmlns:a16="http://schemas.microsoft.com/office/drawing/2014/main" id="{95B2606D-8F41-753D-0AD1-DCE4430E3B0F}"/>
            </a:ext>
          </a:extLst>
        </xdr:cNvPr>
        <xdr:cNvSpPr/>
      </xdr:nvSpPr>
      <xdr:spPr>
        <a:xfrm>
          <a:off x="234951" y="5660735"/>
          <a:ext cx="1974849" cy="1749715"/>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409575</xdr:colOff>
      <xdr:row>6</xdr:row>
      <xdr:rowOff>123825</xdr:rowOff>
    </xdr:from>
    <xdr:to>
      <xdr:col>11</xdr:col>
      <xdr:colOff>38100</xdr:colOff>
      <xdr:row>25</xdr:row>
      <xdr:rowOff>95250</xdr:rowOff>
    </xdr:to>
    <xdr:sp macro="" textlink="">
      <xdr:nvSpPr>
        <xdr:cNvPr id="27" name="Rectangle: Rounded Corners 26">
          <a:extLst>
            <a:ext uri="{FF2B5EF4-FFF2-40B4-BE49-F238E27FC236}">
              <a16:creationId xmlns:a16="http://schemas.microsoft.com/office/drawing/2014/main" id="{CC5944D4-044C-A7EE-499D-6B245F1E2AB3}"/>
            </a:ext>
          </a:extLst>
        </xdr:cNvPr>
        <xdr:cNvSpPr/>
      </xdr:nvSpPr>
      <xdr:spPr>
        <a:xfrm>
          <a:off x="2238375" y="1266825"/>
          <a:ext cx="4505325" cy="4219575"/>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133350</xdr:colOff>
      <xdr:row>7</xdr:row>
      <xdr:rowOff>41563</xdr:rowOff>
    </xdr:from>
    <xdr:to>
      <xdr:col>20</xdr:col>
      <xdr:colOff>516659</xdr:colOff>
      <xdr:row>16</xdr:row>
      <xdr:rowOff>180975</xdr:rowOff>
    </xdr:to>
    <xdr:sp macro="" textlink="">
      <xdr:nvSpPr>
        <xdr:cNvPr id="28" name="Rectangle: Rounded Corners 27">
          <a:extLst>
            <a:ext uri="{FF2B5EF4-FFF2-40B4-BE49-F238E27FC236}">
              <a16:creationId xmlns:a16="http://schemas.microsoft.com/office/drawing/2014/main" id="{40BD2FA1-83A6-F4B9-B035-B3B37FF7B782}"/>
            </a:ext>
          </a:extLst>
        </xdr:cNvPr>
        <xdr:cNvSpPr/>
      </xdr:nvSpPr>
      <xdr:spPr>
        <a:xfrm>
          <a:off x="6838950" y="1375063"/>
          <a:ext cx="5869709" cy="2063462"/>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21</xdr:col>
      <xdr:colOff>0</xdr:colOff>
      <xdr:row>7</xdr:row>
      <xdr:rowOff>70137</xdr:rowOff>
    </xdr:from>
    <xdr:to>
      <xdr:col>26</xdr:col>
      <xdr:colOff>311150</xdr:colOff>
      <xdr:row>16</xdr:row>
      <xdr:rowOff>161924</xdr:rowOff>
    </xdr:to>
    <xdr:sp macro="" textlink="">
      <xdr:nvSpPr>
        <xdr:cNvPr id="29" name="Rectangle: Rounded Corners 28">
          <a:extLst>
            <a:ext uri="{FF2B5EF4-FFF2-40B4-BE49-F238E27FC236}">
              <a16:creationId xmlns:a16="http://schemas.microsoft.com/office/drawing/2014/main" id="{211DEE20-C501-0711-24D4-8D1688AA25C6}"/>
            </a:ext>
          </a:extLst>
        </xdr:cNvPr>
        <xdr:cNvSpPr/>
      </xdr:nvSpPr>
      <xdr:spPr>
        <a:xfrm>
          <a:off x="12801600" y="1403637"/>
          <a:ext cx="3359150" cy="2015837"/>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800">
            <a:latin typeface="Comic Sans MS" panose="030F0702030302020204" pitchFamily="66" charset="0"/>
          </a:endParaRPr>
        </a:p>
      </xdr:txBody>
    </xdr:sp>
    <xdr:clientData/>
  </xdr:twoCellAnchor>
  <xdr:twoCellAnchor>
    <xdr:from>
      <xdr:col>11</xdr:col>
      <xdr:colOff>171449</xdr:colOff>
      <xdr:row>16</xdr:row>
      <xdr:rowOff>312592</xdr:rowOff>
    </xdr:from>
    <xdr:to>
      <xdr:col>20</xdr:col>
      <xdr:colOff>600074</xdr:colOff>
      <xdr:row>25</xdr:row>
      <xdr:rowOff>114300</xdr:rowOff>
    </xdr:to>
    <xdr:sp macro="" textlink="">
      <xdr:nvSpPr>
        <xdr:cNvPr id="30" name="Rectangle: Rounded Corners 29">
          <a:extLst>
            <a:ext uri="{FF2B5EF4-FFF2-40B4-BE49-F238E27FC236}">
              <a16:creationId xmlns:a16="http://schemas.microsoft.com/office/drawing/2014/main" id="{3F8449DF-0711-5858-FB6B-D839CEA119EB}"/>
            </a:ext>
          </a:extLst>
        </xdr:cNvPr>
        <xdr:cNvSpPr/>
      </xdr:nvSpPr>
      <xdr:spPr>
        <a:xfrm>
          <a:off x="6877049" y="3570142"/>
          <a:ext cx="5915025" cy="1935308"/>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21</xdr:col>
      <xdr:colOff>95250</xdr:colOff>
      <xdr:row>16</xdr:row>
      <xdr:rowOff>284016</xdr:rowOff>
    </xdr:from>
    <xdr:to>
      <xdr:col>26</xdr:col>
      <xdr:colOff>320673</xdr:colOff>
      <xdr:row>25</xdr:row>
      <xdr:rowOff>95249</xdr:rowOff>
    </xdr:to>
    <xdr:sp macro="" textlink="">
      <xdr:nvSpPr>
        <xdr:cNvPr id="31" name="Rectangle: Rounded Corners 30">
          <a:extLst>
            <a:ext uri="{FF2B5EF4-FFF2-40B4-BE49-F238E27FC236}">
              <a16:creationId xmlns:a16="http://schemas.microsoft.com/office/drawing/2014/main" id="{096EFFA7-1AE6-ABF3-AE32-BD9EDBED3B10}"/>
            </a:ext>
          </a:extLst>
        </xdr:cNvPr>
        <xdr:cNvSpPr/>
      </xdr:nvSpPr>
      <xdr:spPr>
        <a:xfrm>
          <a:off x="12896850" y="3541566"/>
          <a:ext cx="3273423" cy="1944833"/>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485775</xdr:colOff>
      <xdr:row>26</xdr:row>
      <xdr:rowOff>19050</xdr:rowOff>
    </xdr:from>
    <xdr:to>
      <xdr:col>14</xdr:col>
      <xdr:colOff>276224</xdr:colOff>
      <xdr:row>35</xdr:row>
      <xdr:rowOff>142875</xdr:rowOff>
    </xdr:to>
    <xdr:sp macro="" textlink="">
      <xdr:nvSpPr>
        <xdr:cNvPr id="32" name="Rectangle: Rounded Corners 31">
          <a:extLst>
            <a:ext uri="{FF2B5EF4-FFF2-40B4-BE49-F238E27FC236}">
              <a16:creationId xmlns:a16="http://schemas.microsoft.com/office/drawing/2014/main" id="{DD52959B-DC0B-AECA-4993-9A54B195FB74}"/>
            </a:ext>
          </a:extLst>
        </xdr:cNvPr>
        <xdr:cNvSpPr/>
      </xdr:nvSpPr>
      <xdr:spPr>
        <a:xfrm>
          <a:off x="2314575" y="5600700"/>
          <a:ext cx="6496049" cy="1838325"/>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14</xdr:col>
      <xdr:colOff>371475</xdr:colOff>
      <xdr:row>26</xdr:row>
      <xdr:rowOff>31461</xdr:rowOff>
    </xdr:from>
    <xdr:to>
      <xdr:col>26</xdr:col>
      <xdr:colOff>330198</xdr:colOff>
      <xdr:row>35</xdr:row>
      <xdr:rowOff>142875</xdr:rowOff>
    </xdr:to>
    <xdr:sp macro="" textlink="">
      <xdr:nvSpPr>
        <xdr:cNvPr id="33" name="Rectangle: Rounded Corners 32">
          <a:extLst>
            <a:ext uri="{FF2B5EF4-FFF2-40B4-BE49-F238E27FC236}">
              <a16:creationId xmlns:a16="http://schemas.microsoft.com/office/drawing/2014/main" id="{9954AD35-BDB8-74A8-7066-A0BD6F175770}"/>
            </a:ext>
          </a:extLst>
        </xdr:cNvPr>
        <xdr:cNvSpPr/>
      </xdr:nvSpPr>
      <xdr:spPr>
        <a:xfrm>
          <a:off x="8905875" y="5613111"/>
          <a:ext cx="7273923" cy="1825914"/>
        </a:xfrm>
        <a:prstGeom prst="roundRect">
          <a:avLst/>
        </a:prstGeom>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0</xdr:col>
      <xdr:colOff>457200</xdr:colOff>
      <xdr:row>1</xdr:row>
      <xdr:rowOff>123824</xdr:rowOff>
    </xdr:from>
    <xdr:to>
      <xdr:col>6</xdr:col>
      <xdr:colOff>542925</xdr:colOff>
      <xdr:row>6</xdr:row>
      <xdr:rowOff>66675</xdr:rowOff>
    </xdr:to>
    <xdr:sp macro="" textlink="">
      <xdr:nvSpPr>
        <xdr:cNvPr id="36" name="TextBox 35">
          <a:extLst>
            <a:ext uri="{FF2B5EF4-FFF2-40B4-BE49-F238E27FC236}">
              <a16:creationId xmlns:a16="http://schemas.microsoft.com/office/drawing/2014/main" id="{40AA4CC4-E4DE-4580-B707-B355DFF366F9}"/>
            </a:ext>
          </a:extLst>
        </xdr:cNvPr>
        <xdr:cNvSpPr txBox="1"/>
      </xdr:nvSpPr>
      <xdr:spPr>
        <a:xfrm>
          <a:off x="457200" y="314324"/>
          <a:ext cx="3743325" cy="895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2800" b="1">
              <a:solidFill>
                <a:schemeClr val="accent2"/>
              </a:solidFill>
              <a:effectLst/>
              <a:latin typeface="+mj-lt"/>
              <a:ea typeface="+mn-ea"/>
              <a:cs typeface="+mn-cs"/>
            </a:rPr>
            <a:t>SALES</a:t>
          </a:r>
          <a:r>
            <a:rPr lang="en-US" sz="2800" b="1" baseline="0">
              <a:solidFill>
                <a:schemeClr val="accent2"/>
              </a:solidFill>
              <a:effectLst/>
              <a:latin typeface="+mj-lt"/>
              <a:ea typeface="+mn-ea"/>
              <a:cs typeface="+mn-cs"/>
            </a:rPr>
            <a:t> DASHBOARD</a:t>
          </a:r>
          <a:endParaRPr lang="en-US" sz="3200" b="1">
            <a:solidFill>
              <a:schemeClr val="accent2"/>
            </a:solidFill>
            <a:effectLst/>
            <a:latin typeface="+mj-lt"/>
          </a:endParaRPr>
        </a:p>
        <a:p>
          <a:pPr algn="ctr"/>
          <a:r>
            <a:rPr lang="en-US" sz="1100" b="1" baseline="0">
              <a:solidFill>
                <a:sysClr val="windowText" lastClr="000000"/>
              </a:solidFill>
              <a:effectLst/>
              <a:latin typeface="Comic Sans MS" panose="030F0702030302020204" pitchFamily="66" charset="0"/>
              <a:ea typeface="+mn-ea"/>
              <a:cs typeface="+mn-cs"/>
            </a:rPr>
            <a:t>     </a:t>
          </a:r>
          <a:r>
            <a:rPr lang="en-US" sz="2000" b="1" baseline="0">
              <a:solidFill>
                <a:sysClr val="windowText" lastClr="000000"/>
              </a:solidFill>
              <a:effectLst/>
              <a:latin typeface="+mj-lt"/>
              <a:ea typeface="+mn-ea"/>
              <a:cs typeface="+mn-cs"/>
            </a:rPr>
            <a:t>E-Commerce</a:t>
          </a:r>
          <a:endParaRPr lang="en-US" sz="2000" b="1">
            <a:solidFill>
              <a:sysClr val="windowText" lastClr="000000"/>
            </a:solidFill>
            <a:effectLst/>
            <a:latin typeface="+mj-lt"/>
          </a:endParaRPr>
        </a:p>
        <a:p>
          <a:endParaRPr lang="en-US" sz="1100"/>
        </a:p>
      </xdr:txBody>
    </xdr:sp>
    <xdr:clientData/>
  </xdr:twoCellAnchor>
  <xdr:twoCellAnchor>
    <xdr:from>
      <xdr:col>8</xdr:col>
      <xdr:colOff>209550</xdr:colOff>
      <xdr:row>1</xdr:row>
      <xdr:rowOff>180975</xdr:rowOff>
    </xdr:from>
    <xdr:to>
      <xdr:col>11</xdr:col>
      <xdr:colOff>400050</xdr:colOff>
      <xdr:row>4</xdr:row>
      <xdr:rowOff>0</xdr:rowOff>
    </xdr:to>
    <xdr:sp macro="" textlink="">
      <xdr:nvSpPr>
        <xdr:cNvPr id="42" name="Rectangle 41">
          <a:extLst>
            <a:ext uri="{FF2B5EF4-FFF2-40B4-BE49-F238E27FC236}">
              <a16:creationId xmlns:a16="http://schemas.microsoft.com/office/drawing/2014/main" id="{01ED4BB4-FD80-DA39-CC56-46EDAB1ECD49}"/>
            </a:ext>
          </a:extLst>
        </xdr:cNvPr>
        <xdr:cNvSpPr/>
      </xdr:nvSpPr>
      <xdr:spPr>
        <a:xfrm>
          <a:off x="5086350" y="371475"/>
          <a:ext cx="2019300"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7030A0"/>
              </a:solidFill>
              <a:latin typeface="Comic Sans MS" panose="030F0702030302020204" pitchFamily="66" charset="0"/>
            </a:rPr>
            <a:t>TOTAL SALES</a:t>
          </a:r>
        </a:p>
      </xdr:txBody>
    </xdr:sp>
    <xdr:clientData/>
  </xdr:twoCellAnchor>
  <xdr:twoCellAnchor>
    <xdr:from>
      <xdr:col>8</xdr:col>
      <xdr:colOff>390234</xdr:colOff>
      <xdr:row>3</xdr:row>
      <xdr:rowOff>129307</xdr:rowOff>
    </xdr:from>
    <xdr:to>
      <xdr:col>11</xdr:col>
      <xdr:colOff>266700</xdr:colOff>
      <xdr:row>5</xdr:row>
      <xdr:rowOff>138832</xdr:rowOff>
    </xdr:to>
    <xdr:sp macro="" textlink="'Pivot Tables'!B5">
      <xdr:nvSpPr>
        <xdr:cNvPr id="46" name="Rectangle 45">
          <a:extLst>
            <a:ext uri="{FF2B5EF4-FFF2-40B4-BE49-F238E27FC236}">
              <a16:creationId xmlns:a16="http://schemas.microsoft.com/office/drawing/2014/main" id="{D69D6A4F-7849-4FDF-9A50-4B05470E77D8}"/>
            </a:ext>
          </a:extLst>
        </xdr:cNvPr>
        <xdr:cNvSpPr/>
      </xdr:nvSpPr>
      <xdr:spPr>
        <a:xfrm>
          <a:off x="5267034" y="700807"/>
          <a:ext cx="1705266"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A8831C3-54D0-47A8-AD5D-81C204E690FA}" type="TxLink">
            <a:rPr lang="en-US" sz="1800" b="1" i="0" u="none" strike="noStrike">
              <a:solidFill>
                <a:srgbClr val="000000"/>
              </a:solidFill>
              <a:latin typeface="Comic Sans MS" panose="030F0702030302020204" pitchFamily="66" charset="0"/>
              <a:ea typeface="Calibri"/>
              <a:cs typeface="Calibri"/>
            </a:rPr>
            <a:pPr algn="ctr"/>
            <a:t>8120</a:t>
          </a:fld>
          <a:endParaRPr lang="en-US" sz="1800" b="1">
            <a:latin typeface="Comic Sans MS" panose="030F0702030302020204" pitchFamily="66" charset="0"/>
          </a:endParaRPr>
        </a:p>
      </xdr:txBody>
    </xdr:sp>
    <xdr:clientData/>
  </xdr:twoCellAnchor>
  <xdr:twoCellAnchor editAs="oneCell">
    <xdr:from>
      <xdr:col>7</xdr:col>
      <xdr:colOff>161926</xdr:colOff>
      <xdr:row>2</xdr:row>
      <xdr:rowOff>38101</xdr:rowOff>
    </xdr:from>
    <xdr:to>
      <xdr:col>8</xdr:col>
      <xdr:colOff>66676</xdr:colOff>
      <xdr:row>4</xdr:row>
      <xdr:rowOff>171451</xdr:rowOff>
    </xdr:to>
    <xdr:pic>
      <xdr:nvPicPr>
        <xdr:cNvPr id="48" name="Picture 47">
          <a:extLst>
            <a:ext uri="{FF2B5EF4-FFF2-40B4-BE49-F238E27FC236}">
              <a16:creationId xmlns:a16="http://schemas.microsoft.com/office/drawing/2014/main" id="{522A7148-59A0-1A79-8DD4-F8937F2416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29126" y="419101"/>
          <a:ext cx="514350" cy="514350"/>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12</xdr:col>
      <xdr:colOff>605268</xdr:colOff>
      <xdr:row>1</xdr:row>
      <xdr:rowOff>138831</xdr:rowOff>
    </xdr:from>
    <xdr:to>
      <xdr:col>16</xdr:col>
      <xdr:colOff>371475</xdr:colOff>
      <xdr:row>3</xdr:row>
      <xdr:rowOff>148356</xdr:rowOff>
    </xdr:to>
    <xdr:sp macro="" textlink="">
      <xdr:nvSpPr>
        <xdr:cNvPr id="52" name="Rectangle 51">
          <a:extLst>
            <a:ext uri="{FF2B5EF4-FFF2-40B4-BE49-F238E27FC236}">
              <a16:creationId xmlns:a16="http://schemas.microsoft.com/office/drawing/2014/main" id="{374C99FC-0C89-45CD-9D45-1272FE5C3065}"/>
            </a:ext>
          </a:extLst>
        </xdr:cNvPr>
        <xdr:cNvSpPr/>
      </xdr:nvSpPr>
      <xdr:spPr>
        <a:xfrm>
          <a:off x="7920468" y="329331"/>
          <a:ext cx="2204607"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7030A0"/>
              </a:solidFill>
              <a:latin typeface="Comic Sans MS" panose="030F0702030302020204" pitchFamily="66" charset="0"/>
            </a:rPr>
            <a:t>TOTAL PROFIT</a:t>
          </a:r>
        </a:p>
      </xdr:txBody>
    </xdr:sp>
    <xdr:clientData/>
  </xdr:twoCellAnchor>
  <xdr:twoCellAnchor>
    <xdr:from>
      <xdr:col>13</xdr:col>
      <xdr:colOff>443344</xdr:colOff>
      <xdr:row>3</xdr:row>
      <xdr:rowOff>100731</xdr:rowOff>
    </xdr:from>
    <xdr:to>
      <xdr:col>16</xdr:col>
      <xdr:colOff>19050</xdr:colOff>
      <xdr:row>5</xdr:row>
      <xdr:rowOff>110256</xdr:rowOff>
    </xdr:to>
    <xdr:sp macro="" textlink="'Pivot Tables'!C5">
      <xdr:nvSpPr>
        <xdr:cNvPr id="53" name="Rectangle 52">
          <a:extLst>
            <a:ext uri="{FF2B5EF4-FFF2-40B4-BE49-F238E27FC236}">
              <a16:creationId xmlns:a16="http://schemas.microsoft.com/office/drawing/2014/main" id="{8B52C7C0-0DD3-45D8-A65E-84A92921D241}"/>
            </a:ext>
          </a:extLst>
        </xdr:cNvPr>
        <xdr:cNvSpPr/>
      </xdr:nvSpPr>
      <xdr:spPr>
        <a:xfrm>
          <a:off x="8368144" y="672231"/>
          <a:ext cx="1404506"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46B5F34-2F0B-4FB5-910C-178EAE9BE7D7}" type="TxLink">
            <a:rPr lang="en-US" sz="1800" b="1" i="0" u="none" strike="noStrike">
              <a:solidFill>
                <a:srgbClr val="000000"/>
              </a:solidFill>
              <a:latin typeface="Comic Sans MS" panose="030F0702030302020204" pitchFamily="66" charset="0"/>
              <a:ea typeface="Calibri"/>
              <a:cs typeface="Calibri"/>
            </a:rPr>
            <a:pPr algn="l"/>
            <a:t>1865</a:t>
          </a:fld>
          <a:endParaRPr lang="en-US" sz="1800" b="1">
            <a:solidFill>
              <a:sysClr val="windowText" lastClr="000000"/>
            </a:solidFill>
            <a:latin typeface="Comic Sans MS" panose="030F0702030302020204" pitchFamily="66" charset="0"/>
          </a:endParaRPr>
        </a:p>
      </xdr:txBody>
    </xdr:sp>
    <xdr:clientData/>
  </xdr:twoCellAnchor>
  <xdr:twoCellAnchor editAs="oneCell">
    <xdr:from>
      <xdr:col>12</xdr:col>
      <xdr:colOff>100444</xdr:colOff>
      <xdr:row>2</xdr:row>
      <xdr:rowOff>53106</xdr:rowOff>
    </xdr:from>
    <xdr:to>
      <xdr:col>12</xdr:col>
      <xdr:colOff>561975</xdr:colOff>
      <xdr:row>4</xdr:row>
      <xdr:rowOff>133637</xdr:rowOff>
    </xdr:to>
    <xdr:pic>
      <xdr:nvPicPr>
        <xdr:cNvPr id="54" name="Picture 53">
          <a:extLst>
            <a:ext uri="{FF2B5EF4-FFF2-40B4-BE49-F238E27FC236}">
              <a16:creationId xmlns:a16="http://schemas.microsoft.com/office/drawing/2014/main" id="{083EA604-7BC4-418A-B86E-948E278E1F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415644" y="434106"/>
          <a:ext cx="461531" cy="461531"/>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0</xdr:col>
      <xdr:colOff>400051</xdr:colOff>
      <xdr:row>2</xdr:row>
      <xdr:rowOff>56652</xdr:rowOff>
    </xdr:from>
    <xdr:to>
      <xdr:col>1</xdr:col>
      <xdr:colOff>304801</xdr:colOff>
      <xdr:row>4</xdr:row>
      <xdr:rowOff>190002</xdr:rowOff>
    </xdr:to>
    <xdr:pic>
      <xdr:nvPicPr>
        <xdr:cNvPr id="56" name="Picture 55">
          <a:extLst>
            <a:ext uri="{FF2B5EF4-FFF2-40B4-BE49-F238E27FC236}">
              <a16:creationId xmlns:a16="http://schemas.microsoft.com/office/drawing/2014/main" id="{1E5C6D1D-E305-4B42-9DBC-B7FE58E6FBD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1404" r="1404"/>
        <a:stretch/>
      </xdr:blipFill>
      <xdr:spPr>
        <a:xfrm>
          <a:off x="400051" y="437652"/>
          <a:ext cx="514350" cy="514350"/>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17</xdr:col>
      <xdr:colOff>382734</xdr:colOff>
      <xdr:row>1</xdr:row>
      <xdr:rowOff>186456</xdr:rowOff>
    </xdr:from>
    <xdr:to>
      <xdr:col>20</xdr:col>
      <xdr:colOff>228600</xdr:colOff>
      <xdr:row>4</xdr:row>
      <xdr:rowOff>5481</xdr:rowOff>
    </xdr:to>
    <xdr:sp macro="" textlink="">
      <xdr:nvSpPr>
        <xdr:cNvPr id="57" name="Rectangle 56">
          <a:extLst>
            <a:ext uri="{FF2B5EF4-FFF2-40B4-BE49-F238E27FC236}">
              <a16:creationId xmlns:a16="http://schemas.microsoft.com/office/drawing/2014/main" id="{A0545AB7-6858-4C3F-85F3-3DD785CDB06A}"/>
            </a:ext>
          </a:extLst>
        </xdr:cNvPr>
        <xdr:cNvSpPr/>
      </xdr:nvSpPr>
      <xdr:spPr>
        <a:xfrm>
          <a:off x="10745934" y="376956"/>
          <a:ext cx="1674666"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7030A0"/>
              </a:solidFill>
              <a:latin typeface="Comic Sans MS" panose="030F0702030302020204" pitchFamily="66" charset="0"/>
            </a:rPr>
            <a:t>PROFIT</a:t>
          </a:r>
          <a:r>
            <a:rPr lang="en-US" sz="2000" b="1" baseline="0">
              <a:solidFill>
                <a:srgbClr val="7030A0"/>
              </a:solidFill>
              <a:latin typeface="Comic Sans MS" panose="030F0702030302020204" pitchFamily="66" charset="0"/>
            </a:rPr>
            <a:t> (%)</a:t>
          </a:r>
          <a:endParaRPr lang="en-US" sz="2000" b="1">
            <a:solidFill>
              <a:srgbClr val="7030A0"/>
            </a:solidFill>
            <a:latin typeface="Comic Sans MS" panose="030F0702030302020204" pitchFamily="66" charset="0"/>
          </a:endParaRPr>
        </a:p>
      </xdr:txBody>
    </xdr:sp>
    <xdr:clientData/>
  </xdr:twoCellAnchor>
  <xdr:twoCellAnchor>
    <xdr:from>
      <xdr:col>18</xdr:col>
      <xdr:colOff>182708</xdr:colOff>
      <xdr:row>3</xdr:row>
      <xdr:rowOff>129306</xdr:rowOff>
    </xdr:from>
    <xdr:to>
      <xdr:col>19</xdr:col>
      <xdr:colOff>333375</xdr:colOff>
      <xdr:row>5</xdr:row>
      <xdr:rowOff>104775</xdr:rowOff>
    </xdr:to>
    <xdr:sp macro="" textlink="'Pivot Tables'!I5">
      <xdr:nvSpPr>
        <xdr:cNvPr id="59" name="Rectangle 58">
          <a:extLst>
            <a:ext uri="{FF2B5EF4-FFF2-40B4-BE49-F238E27FC236}">
              <a16:creationId xmlns:a16="http://schemas.microsoft.com/office/drawing/2014/main" id="{EB5CB04D-0299-4AE5-99A4-CDFEDD4AB618}"/>
            </a:ext>
          </a:extLst>
        </xdr:cNvPr>
        <xdr:cNvSpPr/>
      </xdr:nvSpPr>
      <xdr:spPr>
        <a:xfrm>
          <a:off x="11155508" y="700806"/>
          <a:ext cx="760267" cy="3564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28BB4FD-AA11-4F31-B259-BDAE06D0C7D3}" type="TxLink">
            <a:rPr lang="en-US" sz="1800" b="1" i="0" u="none" strike="noStrike">
              <a:solidFill>
                <a:srgbClr val="000000"/>
              </a:solidFill>
              <a:latin typeface="Comic Sans MS" panose="030F0702030302020204" pitchFamily="66" charset="0"/>
              <a:ea typeface="Calibri"/>
              <a:cs typeface="Calibri"/>
            </a:rPr>
            <a:pPr algn="l"/>
            <a:t>22.97%</a:t>
          </a:fld>
          <a:endParaRPr lang="en-US" sz="1800" b="1">
            <a:solidFill>
              <a:sysClr val="windowText" lastClr="000000"/>
            </a:solidFill>
            <a:latin typeface="Comic Sans MS" panose="030F0702030302020204" pitchFamily="66" charset="0"/>
          </a:endParaRPr>
        </a:p>
      </xdr:txBody>
    </xdr:sp>
    <xdr:clientData/>
  </xdr:twoCellAnchor>
  <xdr:twoCellAnchor editAs="oneCell">
    <xdr:from>
      <xdr:col>16</xdr:col>
      <xdr:colOff>449408</xdr:colOff>
      <xdr:row>2</xdr:row>
      <xdr:rowOff>72156</xdr:rowOff>
    </xdr:from>
    <xdr:to>
      <xdr:col>17</xdr:col>
      <xdr:colOff>301339</xdr:colOff>
      <xdr:row>4</xdr:row>
      <xdr:rowOff>152687</xdr:rowOff>
    </xdr:to>
    <xdr:pic>
      <xdr:nvPicPr>
        <xdr:cNvPr id="60" name="Picture 59">
          <a:extLst>
            <a:ext uri="{FF2B5EF4-FFF2-40B4-BE49-F238E27FC236}">
              <a16:creationId xmlns:a16="http://schemas.microsoft.com/office/drawing/2014/main" id="{D048C3BD-0FD0-47B7-9A1D-A70D6BF8BA4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10203008" y="453156"/>
          <a:ext cx="461531" cy="461531"/>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20</xdr:col>
      <xdr:colOff>387350</xdr:colOff>
      <xdr:row>2</xdr:row>
      <xdr:rowOff>72158</xdr:rowOff>
    </xdr:from>
    <xdr:to>
      <xdr:col>21</xdr:col>
      <xdr:colOff>239281</xdr:colOff>
      <xdr:row>4</xdr:row>
      <xdr:rowOff>152689</xdr:rowOff>
    </xdr:to>
    <xdr:pic>
      <xdr:nvPicPr>
        <xdr:cNvPr id="61" name="Picture 60">
          <a:extLst>
            <a:ext uri="{FF2B5EF4-FFF2-40B4-BE49-F238E27FC236}">
              <a16:creationId xmlns:a16="http://schemas.microsoft.com/office/drawing/2014/main" id="{AB4FC53B-0C8D-4783-88A7-9F3D9F93621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579350" y="453158"/>
          <a:ext cx="461531" cy="461531"/>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21</xdr:col>
      <xdr:colOff>206374</xdr:colOff>
      <xdr:row>1</xdr:row>
      <xdr:rowOff>167408</xdr:rowOff>
    </xdr:from>
    <xdr:to>
      <xdr:col>24</xdr:col>
      <xdr:colOff>238125</xdr:colOff>
      <xdr:row>3</xdr:row>
      <xdr:rowOff>176933</xdr:rowOff>
    </xdr:to>
    <xdr:sp macro="" textlink="">
      <xdr:nvSpPr>
        <xdr:cNvPr id="62" name="Rectangle 61">
          <a:extLst>
            <a:ext uri="{FF2B5EF4-FFF2-40B4-BE49-F238E27FC236}">
              <a16:creationId xmlns:a16="http://schemas.microsoft.com/office/drawing/2014/main" id="{14DB6363-0C90-457D-8814-93E94568EAEB}"/>
            </a:ext>
          </a:extLst>
        </xdr:cNvPr>
        <xdr:cNvSpPr/>
      </xdr:nvSpPr>
      <xdr:spPr>
        <a:xfrm>
          <a:off x="13007974" y="357908"/>
          <a:ext cx="1860551"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2000" b="1">
            <a:solidFill>
              <a:sysClr val="windowText" lastClr="000000"/>
            </a:solidFill>
            <a:latin typeface="Comic Sans MS" panose="030F0702030302020204" pitchFamily="66" charset="0"/>
          </a:endParaRPr>
        </a:p>
      </xdr:txBody>
    </xdr:sp>
    <xdr:clientData/>
  </xdr:twoCellAnchor>
  <xdr:twoCellAnchor>
    <xdr:from>
      <xdr:col>21</xdr:col>
      <xdr:colOff>187325</xdr:colOff>
      <xdr:row>1</xdr:row>
      <xdr:rowOff>186458</xdr:rowOff>
    </xdr:from>
    <xdr:to>
      <xdr:col>26</xdr:col>
      <xdr:colOff>381001</xdr:colOff>
      <xdr:row>4</xdr:row>
      <xdr:rowOff>5483</xdr:rowOff>
    </xdr:to>
    <xdr:sp macro="" textlink="">
      <xdr:nvSpPr>
        <xdr:cNvPr id="63" name="Rectangle 62">
          <a:extLst>
            <a:ext uri="{FF2B5EF4-FFF2-40B4-BE49-F238E27FC236}">
              <a16:creationId xmlns:a16="http://schemas.microsoft.com/office/drawing/2014/main" id="{1303EF95-4CBF-4FA2-98D9-B731B6FF048D}"/>
            </a:ext>
          </a:extLst>
        </xdr:cNvPr>
        <xdr:cNvSpPr/>
      </xdr:nvSpPr>
      <xdr:spPr>
        <a:xfrm>
          <a:off x="12988925" y="376958"/>
          <a:ext cx="3241676"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7030A0"/>
              </a:solidFill>
              <a:latin typeface="Comic Sans MS" panose="030F0702030302020204" pitchFamily="66" charset="0"/>
            </a:rPr>
            <a:t>PRO</a:t>
          </a:r>
          <a:r>
            <a:rPr lang="en-US" sz="2000" b="1" baseline="0">
              <a:solidFill>
                <a:srgbClr val="7030A0"/>
              </a:solidFill>
              <a:latin typeface="Comic Sans MS" panose="030F0702030302020204" pitchFamily="66" charset="0"/>
            </a:rPr>
            <a:t>FIT FORECASTING</a:t>
          </a:r>
          <a:endParaRPr lang="en-US" sz="2000" b="1">
            <a:solidFill>
              <a:srgbClr val="7030A0"/>
            </a:solidFill>
            <a:latin typeface="Comic Sans MS" panose="030F0702030302020204" pitchFamily="66" charset="0"/>
          </a:endParaRPr>
        </a:p>
      </xdr:txBody>
    </xdr:sp>
    <xdr:clientData/>
  </xdr:twoCellAnchor>
  <xdr:twoCellAnchor>
    <xdr:from>
      <xdr:col>22</xdr:col>
      <xdr:colOff>444500</xdr:colOff>
      <xdr:row>3</xdr:row>
      <xdr:rowOff>167408</xdr:rowOff>
    </xdr:from>
    <xdr:to>
      <xdr:col>24</xdr:col>
      <xdr:colOff>85725</xdr:colOff>
      <xdr:row>5</xdr:row>
      <xdr:rowOff>176933</xdr:rowOff>
    </xdr:to>
    <xdr:sp macro="" textlink="'Pivot Tables'!K5">
      <xdr:nvSpPr>
        <xdr:cNvPr id="65" name="Rectangle 64">
          <a:extLst>
            <a:ext uri="{FF2B5EF4-FFF2-40B4-BE49-F238E27FC236}">
              <a16:creationId xmlns:a16="http://schemas.microsoft.com/office/drawing/2014/main" id="{98223CB0-C719-4818-8BCB-DD890AD0DE42}"/>
            </a:ext>
          </a:extLst>
        </xdr:cNvPr>
        <xdr:cNvSpPr/>
      </xdr:nvSpPr>
      <xdr:spPr>
        <a:xfrm>
          <a:off x="13855700" y="738908"/>
          <a:ext cx="860425" cy="390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25EB77F-E0B2-45C0-84EA-68A014F63C9C}" type="TxLink">
            <a:rPr lang="en-US" sz="1800" b="0" i="0" u="none" strike="noStrike">
              <a:solidFill>
                <a:srgbClr val="000000"/>
              </a:solidFill>
              <a:latin typeface="Comic Sans MS" panose="030F0702030302020204" pitchFamily="66" charset="0"/>
              <a:ea typeface="Calibri"/>
              <a:cs typeface="Calibri"/>
            </a:rPr>
            <a:pPr algn="l"/>
            <a:t>4.35%</a:t>
          </a:fld>
          <a:endParaRPr lang="en-US" sz="1800" b="1">
            <a:solidFill>
              <a:sysClr val="windowText" lastClr="000000"/>
            </a:solidFill>
            <a:latin typeface="Comic Sans MS" panose="030F0702030302020204" pitchFamily="66" charset="0"/>
          </a:endParaRPr>
        </a:p>
      </xdr:txBody>
    </xdr:sp>
    <xdr:clientData/>
  </xdr:twoCellAnchor>
  <xdr:twoCellAnchor>
    <xdr:from>
      <xdr:col>22</xdr:col>
      <xdr:colOff>171451</xdr:colOff>
      <xdr:row>7</xdr:row>
      <xdr:rowOff>70138</xdr:rowOff>
    </xdr:from>
    <xdr:to>
      <xdr:col>25</xdr:col>
      <xdr:colOff>400051</xdr:colOff>
      <xdr:row>11</xdr:row>
      <xdr:rowOff>19050</xdr:rowOff>
    </xdr:to>
    <xdr:sp macro="" textlink="">
      <xdr:nvSpPr>
        <xdr:cNvPr id="66" name="Rectangle 65">
          <a:extLst>
            <a:ext uri="{FF2B5EF4-FFF2-40B4-BE49-F238E27FC236}">
              <a16:creationId xmlns:a16="http://schemas.microsoft.com/office/drawing/2014/main" id="{A4C67E97-AF9D-4975-A8F3-8D07D6E5D5FA}"/>
            </a:ext>
          </a:extLst>
        </xdr:cNvPr>
        <xdr:cNvSpPr/>
      </xdr:nvSpPr>
      <xdr:spPr>
        <a:xfrm>
          <a:off x="13582651" y="1403638"/>
          <a:ext cx="2057400" cy="9204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solidFill>
                <a:srgbClr val="7030A0"/>
              </a:solidFill>
              <a:latin typeface="Comic Sans MS" panose="030F0702030302020204" pitchFamily="66" charset="0"/>
            </a:rPr>
            <a:t>TOP</a:t>
          </a:r>
          <a:r>
            <a:rPr lang="en-US" sz="2000" b="1" baseline="0">
              <a:solidFill>
                <a:srgbClr val="7030A0"/>
              </a:solidFill>
              <a:latin typeface="Comic Sans MS" panose="030F0702030302020204" pitchFamily="66" charset="0"/>
            </a:rPr>
            <a:t> SELLING </a:t>
          </a:r>
        </a:p>
        <a:p>
          <a:pPr algn="l"/>
          <a:r>
            <a:rPr lang="en-US" sz="2000" b="1" baseline="0">
              <a:solidFill>
                <a:srgbClr val="7030A0"/>
              </a:solidFill>
              <a:latin typeface="Comic Sans MS" panose="030F0702030302020204" pitchFamily="66" charset="0"/>
            </a:rPr>
            <a:t>PRODUCT</a:t>
          </a:r>
          <a:endParaRPr lang="en-US" sz="2000" b="1">
            <a:solidFill>
              <a:srgbClr val="7030A0"/>
            </a:solidFill>
            <a:latin typeface="Comic Sans MS" panose="030F0702030302020204" pitchFamily="66" charset="0"/>
          </a:endParaRPr>
        </a:p>
      </xdr:txBody>
    </xdr:sp>
    <xdr:clientData/>
  </xdr:twoCellAnchor>
  <xdr:twoCellAnchor>
    <xdr:from>
      <xdr:col>22</xdr:col>
      <xdr:colOff>142876</xdr:colOff>
      <xdr:row>11</xdr:row>
      <xdr:rowOff>41563</xdr:rowOff>
    </xdr:from>
    <xdr:to>
      <xdr:col>25</xdr:col>
      <xdr:colOff>104775</xdr:colOff>
      <xdr:row>13</xdr:row>
      <xdr:rowOff>85725</xdr:rowOff>
    </xdr:to>
    <xdr:sp macro="" textlink="'Pivot for Dashboard'!D6">
      <xdr:nvSpPr>
        <xdr:cNvPr id="67" name="Rectangle 66">
          <a:extLst>
            <a:ext uri="{FF2B5EF4-FFF2-40B4-BE49-F238E27FC236}">
              <a16:creationId xmlns:a16="http://schemas.microsoft.com/office/drawing/2014/main" id="{0856F2FD-DA9F-4405-BB2D-4A283A2D0E85}"/>
            </a:ext>
          </a:extLst>
        </xdr:cNvPr>
        <xdr:cNvSpPr/>
      </xdr:nvSpPr>
      <xdr:spPr>
        <a:xfrm>
          <a:off x="13554076" y="2346613"/>
          <a:ext cx="1790699" cy="4251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557B459-1EC3-4892-ABA3-45AFA4103686}" type="TxLink">
            <a:rPr lang="en-US" sz="2400" b="1" i="0" u="none" strike="noStrike">
              <a:solidFill>
                <a:srgbClr val="000000"/>
              </a:solidFill>
              <a:latin typeface="Comic Sans MS" panose="030F0702030302020204" pitchFamily="66" charset="0"/>
              <a:ea typeface="Calibri"/>
              <a:cs typeface="Calibri"/>
            </a:rPr>
            <a:pPr algn="l"/>
            <a:t>Electronics</a:t>
          </a:fld>
          <a:endParaRPr lang="en-US" sz="2400" b="1">
            <a:solidFill>
              <a:sysClr val="windowText" lastClr="000000"/>
            </a:solidFill>
            <a:latin typeface="Comic Sans MS" panose="030F0702030302020204" pitchFamily="66" charset="0"/>
          </a:endParaRPr>
        </a:p>
      </xdr:txBody>
    </xdr:sp>
    <xdr:clientData/>
  </xdr:twoCellAnchor>
  <xdr:twoCellAnchor>
    <xdr:from>
      <xdr:col>22</xdr:col>
      <xdr:colOff>495301</xdr:colOff>
      <xdr:row>13</xdr:row>
      <xdr:rowOff>70138</xdr:rowOff>
    </xdr:from>
    <xdr:to>
      <xdr:col>24</xdr:col>
      <xdr:colOff>276225</xdr:colOff>
      <xdr:row>15</xdr:row>
      <xdr:rowOff>85725</xdr:rowOff>
    </xdr:to>
    <xdr:sp macro="" textlink="'Pivot for Dashboard'!E6">
      <xdr:nvSpPr>
        <xdr:cNvPr id="68" name="Rectangle 67">
          <a:extLst>
            <a:ext uri="{FF2B5EF4-FFF2-40B4-BE49-F238E27FC236}">
              <a16:creationId xmlns:a16="http://schemas.microsoft.com/office/drawing/2014/main" id="{76F3715D-5563-41E2-ACF0-7691419811F1}"/>
            </a:ext>
          </a:extLst>
        </xdr:cNvPr>
        <xdr:cNvSpPr/>
      </xdr:nvSpPr>
      <xdr:spPr>
        <a:xfrm>
          <a:off x="13906501" y="2756188"/>
          <a:ext cx="1000124" cy="39658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2FFBF72-B353-4D8F-80D1-95B2EE28732F}" type="TxLink">
            <a:rPr lang="en-US" sz="1800" b="1" i="0" u="none" strike="noStrike">
              <a:solidFill>
                <a:srgbClr val="000000"/>
              </a:solidFill>
              <a:latin typeface="Comic Sans MS" panose="030F0702030302020204" pitchFamily="66" charset="0"/>
              <a:ea typeface="Calibri"/>
              <a:cs typeface="Calibri"/>
            </a:rPr>
            <a:pPr algn="l"/>
            <a:t>$5,820</a:t>
          </a:fld>
          <a:endParaRPr lang="en-US" sz="1800" b="1">
            <a:solidFill>
              <a:sysClr val="windowText" lastClr="000000"/>
            </a:solidFill>
            <a:latin typeface="Comic Sans MS" panose="030F0702030302020204" pitchFamily="66" charset="0"/>
          </a:endParaRPr>
        </a:p>
      </xdr:txBody>
    </xdr:sp>
    <xdr:clientData/>
  </xdr:twoCellAnchor>
  <xdr:twoCellAnchor editAs="oneCell">
    <xdr:from>
      <xdr:col>21</xdr:col>
      <xdr:colOff>200026</xdr:colOff>
      <xdr:row>8</xdr:row>
      <xdr:rowOff>41563</xdr:rowOff>
    </xdr:from>
    <xdr:to>
      <xdr:col>22</xdr:col>
      <xdr:colOff>51957</xdr:colOff>
      <xdr:row>9</xdr:row>
      <xdr:rowOff>103044</xdr:rowOff>
    </xdr:to>
    <xdr:pic>
      <xdr:nvPicPr>
        <xdr:cNvPr id="70" name="Picture 69">
          <a:extLst>
            <a:ext uri="{FF2B5EF4-FFF2-40B4-BE49-F238E27FC236}">
              <a16:creationId xmlns:a16="http://schemas.microsoft.com/office/drawing/2014/main" id="{79A5C8DF-4851-444B-B0CA-477B6CF33A4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8987" r="8987"/>
        <a:stretch/>
      </xdr:blipFill>
      <xdr:spPr>
        <a:xfrm>
          <a:off x="13001626" y="1565563"/>
          <a:ext cx="461531" cy="461531"/>
        </a:xfrm>
        <a:prstGeom prst="ellipse">
          <a:avLst/>
        </a:prstGeom>
        <a:ln w="63500" cap="rnd">
          <a:solidFill>
            <a:schemeClr val="bg1"/>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xdr:from>
      <xdr:col>11</xdr:col>
      <xdr:colOff>219075</xdr:colOff>
      <xdr:row>7</xdr:row>
      <xdr:rowOff>123824</xdr:rowOff>
    </xdr:from>
    <xdr:to>
      <xdr:col>20</xdr:col>
      <xdr:colOff>352425</xdr:colOff>
      <xdr:row>16</xdr:row>
      <xdr:rowOff>76199</xdr:rowOff>
    </xdr:to>
    <xdr:graphicFrame macro="">
      <xdr:nvGraphicFramePr>
        <xdr:cNvPr id="72" name="Chart 71">
          <a:extLst>
            <a:ext uri="{FF2B5EF4-FFF2-40B4-BE49-F238E27FC236}">
              <a16:creationId xmlns:a16="http://schemas.microsoft.com/office/drawing/2014/main" id="{7F19ABDD-22FB-4261-9260-553E2FCE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171450</xdr:colOff>
      <xdr:row>17</xdr:row>
      <xdr:rowOff>19049</xdr:rowOff>
    </xdr:from>
    <xdr:to>
      <xdr:col>26</xdr:col>
      <xdr:colOff>247650</xdr:colOff>
      <xdr:row>25</xdr:row>
      <xdr:rowOff>103040</xdr:rowOff>
    </xdr:to>
    <xdr:graphicFrame macro="">
      <xdr:nvGraphicFramePr>
        <xdr:cNvPr id="73" name="Chart 72">
          <a:extLst>
            <a:ext uri="{FF2B5EF4-FFF2-40B4-BE49-F238E27FC236}">
              <a16:creationId xmlns:a16="http://schemas.microsoft.com/office/drawing/2014/main" id="{B621BEB9-2B7C-4CE5-9890-22E19102A4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400050</xdr:colOff>
          <xdr:row>17</xdr:row>
          <xdr:rowOff>38100</xdr:rowOff>
        </xdr:from>
        <xdr:to>
          <xdr:col>12</xdr:col>
          <xdr:colOff>28575</xdr:colOff>
          <xdr:row>24</xdr:row>
          <xdr:rowOff>95250</xdr:rowOff>
        </xdr:to>
        <xdr:sp macro="" textlink="">
          <xdr:nvSpPr>
            <xdr:cNvPr id="24579" name="Scroll Bar 3" hidden="1">
              <a:extLst>
                <a:ext uri="{63B3BB69-23CF-44E3-9099-C40C66FF867C}">
                  <a14:compatExt spid="_x0000_s24579"/>
                </a:ext>
                <a:ext uri="{FF2B5EF4-FFF2-40B4-BE49-F238E27FC236}">
                  <a16:creationId xmlns:a16="http://schemas.microsoft.com/office/drawing/2014/main" id="{00000000-0008-0000-0A00-000003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152400</xdr:colOff>
      <xdr:row>16</xdr:row>
      <xdr:rowOff>342901</xdr:rowOff>
    </xdr:from>
    <xdr:to>
      <xdr:col>20</xdr:col>
      <xdr:colOff>495300</xdr:colOff>
      <xdr:row>25</xdr:row>
      <xdr:rowOff>57151</xdr:rowOff>
    </xdr:to>
    <xdr:graphicFrame macro="">
      <xdr:nvGraphicFramePr>
        <xdr:cNvPr id="74" name="Chart 73">
          <a:extLst>
            <a:ext uri="{FF2B5EF4-FFF2-40B4-BE49-F238E27FC236}">
              <a16:creationId xmlns:a16="http://schemas.microsoft.com/office/drawing/2014/main" id="{41CE94ED-9232-4D06-9CC8-680BDAAEC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257175</xdr:colOff>
      <xdr:row>7</xdr:row>
      <xdr:rowOff>66674</xdr:rowOff>
    </xdr:from>
    <xdr:to>
      <xdr:col>3</xdr:col>
      <xdr:colOff>386391</xdr:colOff>
      <xdr:row>9</xdr:row>
      <xdr:rowOff>114299</xdr:rowOff>
    </xdr:to>
    <mc:AlternateContent xmlns:mc="http://schemas.openxmlformats.org/markup-compatibility/2006" xmlns:a14="http://schemas.microsoft.com/office/drawing/2010/main">
      <mc:Choice Requires="a14">
        <xdr:graphicFrame macro="">
          <xdr:nvGraphicFramePr>
            <xdr:cNvPr id="75" name="Years (Order Date) 4">
              <a:extLst>
                <a:ext uri="{FF2B5EF4-FFF2-40B4-BE49-F238E27FC236}">
                  <a16:creationId xmlns:a16="http://schemas.microsoft.com/office/drawing/2014/main" id="{4B7251E7-69F5-457F-A5DC-647D96F17675}"/>
                </a:ext>
              </a:extLst>
            </xdr:cNvPr>
            <xdr:cNvGraphicFramePr/>
          </xdr:nvGraphicFramePr>
          <xdr:xfrm>
            <a:off x="0" y="0"/>
            <a:ext cx="0" cy="0"/>
          </xdr:xfrm>
          <a:graphic>
            <a:graphicData uri="http://schemas.microsoft.com/office/drawing/2010/slicer">
              <sle:slicer xmlns:sle="http://schemas.microsoft.com/office/drawing/2010/slicer" name="Years (Order Date) 4"/>
            </a:graphicData>
          </a:graphic>
        </xdr:graphicFrame>
      </mc:Choice>
      <mc:Fallback xmlns="">
        <xdr:sp macro="" textlink="">
          <xdr:nvSpPr>
            <xdr:cNvPr id="0" name=""/>
            <xdr:cNvSpPr>
              <a:spLocks noTextEdit="1"/>
            </xdr:cNvSpPr>
          </xdr:nvSpPr>
          <xdr:spPr>
            <a:xfrm>
              <a:off x="257176" y="1400174"/>
              <a:ext cx="1904999" cy="638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238124</xdr:colOff>
      <xdr:row>10</xdr:row>
      <xdr:rowOff>171450</xdr:rowOff>
    </xdr:from>
    <xdr:to>
      <xdr:col>3</xdr:col>
      <xdr:colOff>333375</xdr:colOff>
      <xdr:row>25</xdr:row>
      <xdr:rowOff>142875</xdr:rowOff>
    </xdr:to>
    <mc:AlternateContent xmlns:mc="http://schemas.openxmlformats.org/markup-compatibility/2006" xmlns:a14="http://schemas.microsoft.com/office/drawing/2010/main">
      <mc:Choice Requires="a14">
        <xdr:graphicFrame macro="">
          <xdr:nvGraphicFramePr>
            <xdr:cNvPr id="76" name="Months (Order Date) 2">
              <a:extLst>
                <a:ext uri="{FF2B5EF4-FFF2-40B4-BE49-F238E27FC236}">
                  <a16:creationId xmlns:a16="http://schemas.microsoft.com/office/drawing/2014/main" id="{D4BA48F4-CA50-4493-8ED1-93CBF96B5EF0}"/>
                </a:ext>
              </a:extLst>
            </xdr:cNvPr>
            <xdr:cNvGraphicFramePr/>
          </xdr:nvGraphicFramePr>
          <xdr:xfrm>
            <a:off x="0" y="0"/>
            <a:ext cx="0" cy="0"/>
          </xdr:xfrm>
          <a:graphic>
            <a:graphicData uri="http://schemas.microsoft.com/office/drawing/2010/slicer">
              <sle:slicer xmlns:sle="http://schemas.microsoft.com/office/drawing/2010/slicer" name="Months (Order Date) 2"/>
            </a:graphicData>
          </a:graphic>
        </xdr:graphicFrame>
      </mc:Choice>
      <mc:Fallback xmlns="">
        <xdr:sp macro="" textlink="">
          <xdr:nvSpPr>
            <xdr:cNvPr id="0" name=""/>
            <xdr:cNvSpPr>
              <a:spLocks noTextEdit="1"/>
            </xdr:cNvSpPr>
          </xdr:nvSpPr>
          <xdr:spPr>
            <a:xfrm>
              <a:off x="238124" y="2286000"/>
              <a:ext cx="1924051" cy="3248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533400</xdr:colOff>
      <xdr:row>8</xdr:row>
      <xdr:rowOff>174912</xdr:rowOff>
    </xdr:from>
    <xdr:to>
      <xdr:col>10</xdr:col>
      <xdr:colOff>542925</xdr:colOff>
      <xdr:row>25</xdr:row>
      <xdr:rowOff>38099</xdr:rowOff>
    </xdr:to>
    <mc:AlternateContent xmlns:mc="http://schemas.openxmlformats.org/markup-compatibility/2006">
      <mc:Choice xmlns:cx1="http://schemas.microsoft.com/office/drawing/2015/9/8/chartex" Requires="cx1">
        <xdr:graphicFrame macro="">
          <xdr:nvGraphicFramePr>
            <xdr:cNvPr id="78" name="Chart 77">
              <a:extLst>
                <a:ext uri="{FF2B5EF4-FFF2-40B4-BE49-F238E27FC236}">
                  <a16:creationId xmlns:a16="http://schemas.microsoft.com/office/drawing/2014/main" id="{1FC8357E-11BA-4C37-A683-904FD94D23D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362200" y="1698912"/>
              <a:ext cx="4276725" cy="37303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538884</xdr:colOff>
      <xdr:row>26</xdr:row>
      <xdr:rowOff>57150</xdr:rowOff>
    </xdr:from>
    <xdr:to>
      <xdr:col>26</xdr:col>
      <xdr:colOff>228600</xdr:colOff>
      <xdr:row>35</xdr:row>
      <xdr:rowOff>57149</xdr:rowOff>
    </xdr:to>
    <xdr:graphicFrame macro="">
      <xdr:nvGraphicFramePr>
        <xdr:cNvPr id="80" name="Chart 79">
          <a:extLst>
            <a:ext uri="{FF2B5EF4-FFF2-40B4-BE49-F238E27FC236}">
              <a16:creationId xmlns:a16="http://schemas.microsoft.com/office/drawing/2014/main" id="{CE2AE855-3F1F-4538-AB69-A20EF0E99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485776</xdr:colOff>
      <xdr:row>26</xdr:row>
      <xdr:rowOff>19050</xdr:rowOff>
    </xdr:from>
    <xdr:to>
      <xdr:col>14</xdr:col>
      <xdr:colOff>104775</xdr:colOff>
      <xdr:row>35</xdr:row>
      <xdr:rowOff>95250</xdr:rowOff>
    </xdr:to>
    <xdr:graphicFrame macro="">
      <xdr:nvGraphicFramePr>
        <xdr:cNvPr id="81" name="Chart 80">
          <a:extLst>
            <a:ext uri="{FF2B5EF4-FFF2-40B4-BE49-F238E27FC236}">
              <a16:creationId xmlns:a16="http://schemas.microsoft.com/office/drawing/2014/main" id="{94AB2326-53C6-4B98-AA33-8621DF511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234952</xdr:colOff>
      <xdr:row>26</xdr:row>
      <xdr:rowOff>38100</xdr:rowOff>
    </xdr:from>
    <xdr:to>
      <xdr:col>3</xdr:col>
      <xdr:colOff>352426</xdr:colOff>
      <xdr:row>35</xdr:row>
      <xdr:rowOff>123825</xdr:rowOff>
    </xdr:to>
    <mc:AlternateContent xmlns:mc="http://schemas.openxmlformats.org/markup-compatibility/2006">
      <mc:Choice xmlns:cx1="http://schemas.microsoft.com/office/drawing/2015/9/8/chartex" Requires="cx1">
        <xdr:graphicFrame macro="">
          <xdr:nvGraphicFramePr>
            <xdr:cNvPr id="83" name="Chart 82">
              <a:extLst>
                <a:ext uri="{FF2B5EF4-FFF2-40B4-BE49-F238E27FC236}">
                  <a16:creationId xmlns:a16="http://schemas.microsoft.com/office/drawing/2014/main" id="{7F39DF5C-CA91-4BAE-9168-10704A48D1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234952" y="5619750"/>
              <a:ext cx="1946274" cy="18002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VES BAPPI" refreshedDate="45859.103291666666" createdVersion="8" refreshedVersion="8" minRefreshableVersion="3" recordCount="44" xr:uid="{940D08AD-4E89-4E44-A4BD-3F8C931D549C}">
  <cacheSource type="worksheet">
    <worksheetSource name="Table1"/>
  </cacheSource>
  <cacheFields count="28">
    <cacheField name="Order ID" numFmtId="0">
      <sharedItems containsSemiMixedTypes="0" containsString="0" containsNumber="1" containsInteger="1" minValue="1001" maxValue="1044" count="44">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sharedItems>
    </cacheField>
    <cacheField name="Order Date" numFmtId="14">
      <sharedItems containsSemiMixedTypes="0" containsNonDate="0" containsDate="1" containsString="0" minDate="2022-01-05T00:00:00" maxDate="2024-12-11T00:00:00" count="43">
        <d v="2022-01-05T00:00:00"/>
        <d v="2022-01-06T00:00:00"/>
        <d v="2022-01-07T00:00:00"/>
        <d v="2022-01-08T00:00:00"/>
        <d v="2022-02-10T00:00:00"/>
        <d v="2022-02-12T00:00:00"/>
        <d v="2022-03-01T00:00:00"/>
        <d v="2022-03-05T00:00:00"/>
        <d v="2022-04-15T00:00:00"/>
        <d v="2022-05-20T00:00:00"/>
        <d v="2022-06-01T00:00:00"/>
        <d v="2022-07-05T00:00:00"/>
        <d v="2022-08-10T00:00:00"/>
        <d v="2022-09-15T00:00:00"/>
        <d v="2022-10-20T00:00:00"/>
        <d v="2022-11-01T00:00:00"/>
        <d v="2022-12-05T00:00:00"/>
        <d v="2023-01-05T00:00:00"/>
        <d v="2023-01-23T00:00:00"/>
        <d v="2023-02-10T00:00:00"/>
        <d v="2023-03-15T00:00:00"/>
        <d v="2023-04-20T00:00:00"/>
        <d v="2023-05-01T00:00:00"/>
        <d v="2023-06-05T00:00:00"/>
        <d v="2023-07-10T00:00:00"/>
        <d v="2023-08-15T00:00:00"/>
        <d v="2023-09-20T00:00:00"/>
        <d v="2023-10-25T00:00:00"/>
        <d v="2023-11-01T00:00:00"/>
        <d v="2023-12-05T00:00:00"/>
        <d v="2024-01-05T00:00:00"/>
        <d v="2024-01-10T00:00:00"/>
        <d v="2024-02-15T00:00:00"/>
        <d v="2024-03-20T00:00:00"/>
        <d v="2024-04-25T00:00:00"/>
        <d v="2024-05-01T00:00:00"/>
        <d v="2024-06-10T00:00:00"/>
        <d v="2024-07-15T00:00:00"/>
        <d v="2024-08-20T00:00:00"/>
        <d v="2024-09-25T00:00:00"/>
        <d v="2024-10-30T00:00:00"/>
        <d v="2024-11-05T00:00:00"/>
        <d v="2024-12-10T00:00:00"/>
      </sharedItems>
      <fieldGroup par="27"/>
    </cacheField>
    <cacheField name="Customer ID" numFmtId="0">
      <sharedItems count="10">
        <s v="C001"/>
        <s v="C002"/>
        <s v="C003"/>
        <s v="C004"/>
        <s v="C005"/>
        <s v="C006"/>
        <s v="C007"/>
        <s v="C008"/>
        <s v="C009"/>
        <s v="C010"/>
      </sharedItems>
    </cacheField>
    <cacheField name="Customer Name" numFmtId="0">
      <sharedItems count="10">
        <s v="Alice Smith"/>
        <s v="Bob Johnson"/>
        <s v="Charlie Brown"/>
        <s v="Diana Miller"/>
        <s v="Eve Davis"/>
        <s v="Frank White"/>
        <s v="Grace Taylor"/>
        <s v="Henry King"/>
        <s v="Ivy Lee"/>
        <s v="Jack Green"/>
      </sharedItems>
    </cacheField>
    <cacheField name="Age" numFmtId="0">
      <sharedItems containsSemiMixedTypes="0" containsString="0" containsNumber="1" containsInteger="1" minValue="25" maxValue="45"/>
    </cacheField>
    <cacheField name="Gender" numFmtId="0">
      <sharedItems/>
    </cacheField>
    <cacheField name="Product" numFmtId="0">
      <sharedItems count="44">
        <s v="Laptop"/>
        <s v="T-Shirt"/>
        <s v="Headphones"/>
        <s v="Mouse"/>
        <s v="Jeans"/>
        <s v="Keyboard"/>
        <s v="Dress"/>
        <s v="Monitor"/>
        <s v="Webcam"/>
        <s v="Sneakers"/>
        <s v="Socks"/>
        <s v="Smartwatch"/>
        <s v="Jacket"/>
        <s v="Coffee Maker"/>
        <s v="Blender"/>
        <s v="External Hard Drive"/>
        <s v="Desk Lamp"/>
        <s v="Sweater"/>
        <s v="Tablet"/>
        <s v="Running Shoes"/>
        <s v="Smart TV"/>
        <s v="Fitness Tracker"/>
        <s v="Summer Dress"/>
        <s v="Air Fryer"/>
        <s v="Running Shorts"/>
        <s v="Smart Speaker"/>
        <s v="Gaming Headset"/>
        <s v="Winter Coat"/>
        <s v="Robot Vacuum"/>
        <s v="Boots"/>
        <s v="Christmas Decor"/>
        <s v="New Laptop Model"/>
        <s v="Wireless Earbuds"/>
        <s v="Smart Thermostat"/>
        <s v="Spring Jacket"/>
        <s v="Portable Speaker"/>
        <s v="E-Reader"/>
        <s v="Camping Tent"/>
        <s v="Smart Scale"/>
        <s v="Backpack"/>
        <s v="Autumn Scarf"/>
        <s v="Gaming Monitor"/>
        <s v="Smart Plug"/>
        <s v="Winter Gloves"/>
      </sharedItems>
    </cacheField>
    <cacheField name="Category" numFmtId="0">
      <sharedItems count="5">
        <s v="Electronics"/>
        <s v="Apparel"/>
        <s v="Footwear"/>
        <s v="Home Goods"/>
        <s v="Outdoor"/>
      </sharedItems>
    </cacheField>
    <cacheField name="Sales" numFmtId="0">
      <sharedItems containsSemiMixedTypes="0" containsString="0" containsNumber="1" containsInteger="1" minValue="10" maxValue="1300" count="29">
        <n v="1200"/>
        <n v="25"/>
        <n v="150"/>
        <n v="30"/>
        <n v="60"/>
        <n v="75"/>
        <n v="100"/>
        <n v="300"/>
        <n v="45"/>
        <n v="80"/>
        <n v="10"/>
        <n v="250"/>
        <n v="120"/>
        <n v="70"/>
        <n v="90"/>
        <n v="35"/>
        <n v="50"/>
        <n v="400"/>
        <n v="95"/>
        <n v="800"/>
        <n v="40"/>
        <n v="180"/>
        <n v="350"/>
        <n v="110"/>
        <n v="1300"/>
        <n v="130"/>
        <n v="200"/>
        <n v="20"/>
        <n v="450"/>
      </sharedItems>
    </cacheField>
    <cacheField name="Quantity" numFmtId="0">
      <sharedItems containsSemiMixedTypes="0" containsString="0" containsNumber="1" containsInteger="1" minValue="1" maxValue="4" count="4">
        <n v="1"/>
        <n v="2"/>
        <n v="3"/>
        <n v="4"/>
      </sharedItems>
    </cacheField>
    <cacheField name="Profit" numFmtId="0">
      <sharedItems containsSemiMixedTypes="0" containsString="0" containsNumber="1" containsInteger="1" minValue="3" maxValue="260"/>
    </cacheField>
    <cacheField name="Region" numFmtId="0">
      <sharedItems count="4">
        <s v="North"/>
        <s v="South"/>
        <s v="East"/>
        <s v="West"/>
      </sharedItems>
    </cacheField>
    <cacheField name="Country" numFmtId="0">
      <sharedItems count="4">
        <s v="USA"/>
        <s v="Canada"/>
        <s v="UK"/>
        <s v="Australia"/>
      </sharedItems>
    </cacheField>
    <cacheField name="Channel" numFmtId="0">
      <sharedItems/>
    </cacheField>
    <cacheField name="Sign-Up Date" numFmtId="14">
      <sharedItems containsSemiMixedTypes="0" containsNonDate="0" containsDate="1" containsString="0" minDate="2021-11-10T00:00:00" maxDate="2022-01-19T00:00:00"/>
    </cacheField>
    <cacheField name="Campaign Name" numFmtId="0">
      <sharedItems/>
    </cacheField>
    <cacheField name="Campaign Start Date" numFmtId="14">
      <sharedItems containsSemiMixedTypes="0" containsNonDate="0" containsDate="1" containsString="0" minDate="2022-01-01T00:00:00" maxDate="2024-12-06T00:00:00"/>
    </cacheField>
    <cacheField name="Campaign End Date" numFmtId="14">
      <sharedItems containsSemiMixedTypes="0" containsNonDate="0" containsDate="1" containsString="0" minDate="2022-01-07T00:00:00" maxDate="2024-12-21T00:00:00"/>
    </cacheField>
    <cacheField name="Campaign Channel" numFmtId="0">
      <sharedItems/>
    </cacheField>
    <cacheField name="Spend" numFmtId="0">
      <sharedItems containsSemiMixedTypes="0" containsString="0" containsNumber="1" containsInteger="1" minValue="2000" maxValue="7500"/>
    </cacheField>
    <cacheField name="Leads" numFmtId="0">
      <sharedItems containsSemiMixedTypes="0" containsString="0" containsNumber="1" containsInteger="1" minValue="700" maxValue="2200"/>
    </cacheField>
    <cacheField name="Campaign Orders" numFmtId="0">
      <sharedItems containsSemiMixedTypes="0" containsString="0" containsNumber="1" containsInteger="1" minValue="30" maxValue="140"/>
    </cacheField>
    <cacheField name="Shipping Type" numFmtId="0">
      <sharedItems/>
    </cacheField>
    <cacheField name="Payment Method" numFmtId="0">
      <sharedItems/>
    </cacheField>
    <cacheField name="Frequency of Purchase" numFmtId="0">
      <sharedItems containsSemiMixedTypes="0" containsString="0" containsNumber="1" containsInteger="1" minValue="2" maxValue="7"/>
    </cacheField>
    <cacheField name="Months (Order Date)" numFmtId="0" databaseField="0">
      <fieldGroup base="1">
        <rangePr groupBy="months" startDate="2022-01-05T00:00:00" endDate="2024-12-11T00:00:00"/>
        <groupItems count="14">
          <s v="&lt;1/5/2022"/>
          <s v="Jan"/>
          <s v="Feb"/>
          <s v="Mar"/>
          <s v="Apr"/>
          <s v="May"/>
          <s v="Jun"/>
          <s v="Jul"/>
          <s v="Aug"/>
          <s v="Sep"/>
          <s v="Oct"/>
          <s v="Nov"/>
          <s v="Dec"/>
          <s v="&gt;12/11/2024"/>
        </groupItems>
      </fieldGroup>
    </cacheField>
    <cacheField name="Quarters (Order Date)" numFmtId="0" databaseField="0">
      <fieldGroup base="1">
        <rangePr groupBy="quarters" startDate="2022-01-05T00:00:00" endDate="2024-12-11T00:00:00"/>
        <groupItems count="6">
          <s v="&lt;1/5/2022"/>
          <s v="Qtr1"/>
          <s v="Qtr2"/>
          <s v="Qtr3"/>
          <s v="Qtr4"/>
          <s v="&gt;12/11/2024"/>
        </groupItems>
      </fieldGroup>
    </cacheField>
    <cacheField name="Years (Order Date)" numFmtId="0" databaseField="0">
      <fieldGroup base="1">
        <rangePr groupBy="years" startDate="2022-01-05T00:00:00" endDate="2024-12-11T00:00:00"/>
        <groupItems count="5">
          <s v="&lt;1/5/2022"/>
          <s v="2022"/>
          <s v="2023"/>
          <s v="2024"/>
          <s v="&gt;12/11/2024"/>
        </groupItems>
      </fieldGroup>
    </cacheField>
  </cacheFields>
  <extLst>
    <ext xmlns:x14="http://schemas.microsoft.com/office/spreadsheetml/2009/9/main" uri="{725AE2AE-9491-48be-B2B4-4EB974FC3084}">
      <x14:pivotCacheDefinition pivotCacheId="262046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VES BAPPI" refreshedDate="45859.90681724537" createdVersion="8" refreshedVersion="8" minRefreshableVersion="3" recordCount="44" xr:uid="{C842F420-2CA1-48BF-BA9C-B92220ED97F2}">
  <cacheSource type="worksheet">
    <worksheetSource name="Table7"/>
  </cacheSource>
  <cacheFields count="11">
    <cacheField name="Customers name" numFmtId="0">
      <sharedItems count="10">
        <s v="Alice Smith"/>
        <s v="Bob Johnson"/>
        <s v="Charlie Brown"/>
        <s v="Diana Miller"/>
        <s v="Eve Davis"/>
        <s v="Frank White"/>
        <s v="Grace Taylor"/>
        <s v="Henry King"/>
        <s v="Ivy Lee"/>
        <s v="Jack Green"/>
      </sharedItems>
    </cacheField>
    <cacheField name="Order Date" numFmtId="14">
      <sharedItems containsSemiMixedTypes="0" containsNonDate="0" containsDate="1" containsString="0" minDate="2022-01-05T00:00:00" maxDate="2024-12-11T00:00:00"/>
    </cacheField>
    <cacheField name="Sales" numFmtId="0">
      <sharedItems containsSemiMixedTypes="0" containsString="0" containsNumber="1" containsInteger="1" minValue="10" maxValue="1300" count="29">
        <n v="1200"/>
        <n v="25"/>
        <n v="150"/>
        <n v="30"/>
        <n v="60"/>
        <n v="75"/>
        <n v="100"/>
        <n v="300"/>
        <n v="45"/>
        <n v="80"/>
        <n v="10"/>
        <n v="250"/>
        <n v="120"/>
        <n v="70"/>
        <n v="90"/>
        <n v="35"/>
        <n v="50"/>
        <n v="400"/>
        <n v="95"/>
        <n v="800"/>
        <n v="40"/>
        <n v="180"/>
        <n v="350"/>
        <n v="110"/>
        <n v="1300"/>
        <n v="130"/>
        <n v="200"/>
        <n v="20"/>
        <n v="450"/>
      </sharedItems>
    </cacheField>
    <cacheField name="Quantity" numFmtId="0">
      <sharedItems containsSemiMixedTypes="0" containsString="0" containsNumber="1" containsInteger="1" minValue="1" maxValue="4" count="4">
        <n v="1"/>
        <n v="2"/>
        <n v="3"/>
        <n v="4"/>
      </sharedItems>
    </cacheField>
    <cacheField name="Age" numFmtId="0">
      <sharedItems containsSemiMixedTypes="0" containsString="0" containsNumber="1" containsInteger="1" minValue="25" maxValue="45"/>
    </cacheField>
    <cacheField name="Frequency of Purchase" numFmtId="0">
      <sharedItems containsSemiMixedTypes="0" containsString="0" containsNumber="1" containsInteger="1" minValue="2" maxValue="7" count="6">
        <n v="5"/>
        <n v="3"/>
        <n v="7"/>
        <n v="2"/>
        <n v="4"/>
        <n v="6"/>
      </sharedItems>
    </cacheField>
    <cacheField name="Category" numFmtId="0">
      <sharedItems count="5">
        <s v="Electronics"/>
        <s v="Apparel"/>
        <s v="Footwear"/>
        <s v="Home Goods"/>
        <s v="Outdoor"/>
      </sharedItems>
    </cacheField>
    <cacheField name="Sign-Up Date" numFmtId="14">
      <sharedItems containsSemiMixedTypes="0" containsNonDate="0" containsDate="1" containsString="0" minDate="2021-11-10T00:00:00" maxDate="2022-01-19T00:00:00" count="10">
        <d v="2021-12-01T00:00:00"/>
        <d v="2021-11-10T00:00:00"/>
        <d v="2021-12-20T00:00:00"/>
        <d v="2022-01-01T00:00:00"/>
        <d v="2022-01-05T00:00:00"/>
        <d v="2022-01-08T00:00:00"/>
        <d v="2022-01-10T00:00:00"/>
        <d v="2022-01-12T00:00:00"/>
        <d v="2022-01-15T00:00:00"/>
        <d v="2022-01-18T00:00:00"/>
      </sharedItems>
    </cacheField>
    <cacheField name="Channel" numFmtId="0">
      <sharedItems count="2">
        <s v="Online"/>
        <s v="Offline"/>
      </sharedItems>
    </cacheField>
    <cacheField name="Task-04" numFmtId="0">
      <sharedItems count="2">
        <s v="High Value"/>
        <s v="standard Value"/>
      </sharedItems>
    </cacheField>
    <cacheField name="Task-05"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VES BAPPI" refreshedDate="45859.907694097223" createdVersion="8" refreshedVersion="8" minRefreshableVersion="3" recordCount="44" xr:uid="{D836AE0D-207B-4EBB-AEB9-9938B8314E0E}">
  <cacheSource type="worksheet">
    <worksheetSource name="Table7[[Order Date]:[Task-05]]"/>
  </cacheSource>
  <cacheFields count="10">
    <cacheField name="Order Date" numFmtId="14">
      <sharedItems containsSemiMixedTypes="0" containsNonDate="0" containsDate="1" containsString="0" minDate="2022-01-05T00:00:00" maxDate="2024-12-11T00:00:00"/>
    </cacheField>
    <cacheField name="Sales" numFmtId="0">
      <sharedItems containsSemiMixedTypes="0" containsString="0" containsNumber="1" containsInteger="1" minValue="10" maxValue="1300"/>
    </cacheField>
    <cacheField name="Quantity" numFmtId="0">
      <sharedItems containsSemiMixedTypes="0" containsString="0" containsNumber="1" containsInteger="1" minValue="1" maxValue="4"/>
    </cacheField>
    <cacheField name="Age" numFmtId="0">
      <sharedItems containsSemiMixedTypes="0" containsString="0" containsNumber="1" containsInteger="1" minValue="25" maxValue="45"/>
    </cacheField>
    <cacheField name="Frequency of Purchase" numFmtId="0">
      <sharedItems containsSemiMixedTypes="0" containsString="0" containsNumber="1" containsInteger="1" minValue="2" maxValue="7"/>
    </cacheField>
    <cacheField name="Category" numFmtId="0">
      <sharedItems/>
    </cacheField>
    <cacheField name="Sign-Up Date" numFmtId="14">
      <sharedItems containsSemiMixedTypes="0" containsNonDate="0" containsDate="1" containsString="0" minDate="2021-11-10T00:00:00" maxDate="2022-01-19T00:00:00"/>
    </cacheField>
    <cacheField name="Channel" numFmtId="0">
      <sharedItems count="2">
        <s v="Online"/>
        <s v="Offline"/>
      </sharedItems>
    </cacheField>
    <cacheField name="Task-04" numFmtId="0">
      <sharedItems/>
    </cacheField>
    <cacheField name="Task-05"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VES BAPPI" refreshedDate="45861.002588425923" createdVersion="8" refreshedVersion="8" minRefreshableVersion="3" recordCount="44" xr:uid="{A005F7BD-8FAD-48C2-BDFD-F452E6C84937}">
  <cacheSource type="worksheet">
    <worksheetSource name="Table6"/>
  </cacheSource>
  <cacheFields count="3">
    <cacheField name="Country" numFmtId="0">
      <sharedItems count="4">
        <s v="USA"/>
        <s v="Canada"/>
        <s v="UK"/>
        <s v="Australia"/>
      </sharedItems>
    </cacheField>
    <cacheField name="Month" numFmtId="0">
      <sharedItems count="13">
        <s v="Jan"/>
        <s v="Feb"/>
        <s v="Mar"/>
        <s v="Apr"/>
        <s v="May"/>
        <s v="Jun"/>
        <s v="Jul"/>
        <s v="Aug"/>
        <s v="Sep"/>
        <s v="Oct"/>
        <s v="Nov"/>
        <s v="Dec"/>
        <e v="#VALUE!"/>
      </sharedItems>
    </cacheField>
    <cacheField name="Profit" numFmtId="0">
      <sharedItems containsSemiMixedTypes="0" containsString="0" containsNumber="1" containsInteger="1" minValue="3" maxValue="260" count="24">
        <n v="240"/>
        <n v="10"/>
        <n v="30"/>
        <n v="5"/>
        <n v="20"/>
        <n v="15"/>
        <n v="40"/>
        <n v="60"/>
        <n v="25"/>
        <n v="3"/>
        <n v="50"/>
        <n v="45"/>
        <n v="18"/>
        <n v="22"/>
        <n v="16"/>
        <n v="8"/>
        <n v="80"/>
        <n v="160"/>
        <n v="28"/>
        <n v="70"/>
        <n v="35"/>
        <n v="260"/>
        <n v="12"/>
        <n v="90"/>
      </sharedItems>
      <fieldGroup base="2">
        <rangePr autoStart="0" autoEnd="0" startNum="3" endNum="350" groupInterval="20"/>
        <groupItems count="20">
          <s v="&lt;3"/>
          <s v="3-22"/>
          <s v="23-42"/>
          <s v="43-62"/>
          <s v="63-82"/>
          <s v="83-102"/>
          <s v="103-122"/>
          <s v="123-142"/>
          <s v="143-162"/>
          <s v="163-182"/>
          <s v="183-202"/>
          <s v="203-222"/>
          <s v="223-242"/>
          <s v="243-262"/>
          <s v="263-282"/>
          <s v="283-302"/>
          <s v="303-322"/>
          <s v="323-342"/>
          <s v="343-362"/>
          <s v="&gt;363"/>
        </groupItems>
      </fieldGroup>
    </cacheField>
  </cacheFields>
  <extLst>
    <ext xmlns:x14="http://schemas.microsoft.com/office/spreadsheetml/2009/9/main" uri="{725AE2AE-9491-48be-B2B4-4EB974FC3084}">
      <x14:pivotCacheDefinition pivotCacheId="3776050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x v="0"/>
    <x v="0"/>
    <x v="0"/>
    <n v="28"/>
    <s v="Female"/>
    <x v="0"/>
    <x v="0"/>
    <x v="0"/>
    <x v="0"/>
    <n v="240"/>
    <x v="0"/>
    <x v="0"/>
    <s v="Online"/>
    <d v="2021-12-01T00:00:00"/>
    <s v="Winter Sale 2022"/>
    <d v="2022-01-01T00:00:00"/>
    <d v="2022-01-15T00:00:00"/>
    <s v="Email"/>
    <n v="5000"/>
    <n v="1500"/>
    <n v="100"/>
    <s v="Standard"/>
    <s v="Credit Card"/>
    <n v="5"/>
  </r>
  <r>
    <x v="1"/>
    <x v="0"/>
    <x v="1"/>
    <x v="1"/>
    <n v="35"/>
    <s v="Male"/>
    <x v="1"/>
    <x v="1"/>
    <x v="1"/>
    <x v="1"/>
    <n v="10"/>
    <x v="1"/>
    <x v="1"/>
    <s v="Offline"/>
    <d v="2021-11-10T00:00:00"/>
    <s v="New Year Promo 2022"/>
    <d v="2022-01-01T00:00:00"/>
    <d v="2022-01-07T00:00:00"/>
    <s v="Social Media"/>
    <n v="3000"/>
    <n v="1000"/>
    <n v="50"/>
    <s v="Express"/>
    <s v="Debit Card"/>
    <n v="3"/>
  </r>
  <r>
    <x v="2"/>
    <x v="1"/>
    <x v="2"/>
    <x v="2"/>
    <n v="42"/>
    <s v="Female"/>
    <x v="2"/>
    <x v="0"/>
    <x v="2"/>
    <x v="0"/>
    <n v="30"/>
    <x v="2"/>
    <x v="2"/>
    <s v="Online"/>
    <d v="2021-12-20T00:00:00"/>
    <s v="Electronics Focus 2022"/>
    <d v="2022-01-10T00:00:00"/>
    <d v="2022-01-25T00:00:00"/>
    <s v="Google Ads"/>
    <n v="7000"/>
    <n v="2000"/>
    <n v="120"/>
    <s v="Standard"/>
    <s v="PayPal"/>
    <n v="7"/>
  </r>
  <r>
    <x v="3"/>
    <x v="2"/>
    <x v="0"/>
    <x v="0"/>
    <n v="28"/>
    <s v="Female"/>
    <x v="3"/>
    <x v="0"/>
    <x v="3"/>
    <x v="0"/>
    <n v="5"/>
    <x v="0"/>
    <x v="0"/>
    <s v="Online"/>
    <d v="2021-12-01T00:00:00"/>
    <s v="Winter Sale 2022"/>
    <d v="2022-01-01T00:00:00"/>
    <d v="2022-01-15T00:00:00"/>
    <s v="Email"/>
    <n v="5000"/>
    <n v="1500"/>
    <n v="100"/>
    <s v="Standard"/>
    <s v="Credit Card"/>
    <n v="5"/>
  </r>
  <r>
    <x v="4"/>
    <x v="3"/>
    <x v="3"/>
    <x v="3"/>
    <n v="30"/>
    <s v="Male"/>
    <x v="4"/>
    <x v="1"/>
    <x v="4"/>
    <x v="0"/>
    <n v="20"/>
    <x v="3"/>
    <x v="3"/>
    <s v="Offline"/>
    <d v="2022-01-01T00:00:00"/>
    <s v="Apparel Blast 2022"/>
    <d v="2022-01-15T00:00:00"/>
    <d v="2022-01-30T00:00:00"/>
    <s v="Facebook Ads"/>
    <n v="4000"/>
    <n v="1200"/>
    <n v="70"/>
    <s v="Standard"/>
    <s v="Credit Card"/>
    <n v="2"/>
  </r>
  <r>
    <x v="5"/>
    <x v="4"/>
    <x v="1"/>
    <x v="1"/>
    <n v="35"/>
    <s v="Male"/>
    <x v="5"/>
    <x v="0"/>
    <x v="5"/>
    <x v="0"/>
    <n v="15"/>
    <x v="1"/>
    <x v="1"/>
    <s v="Online"/>
    <d v="2021-11-10T00:00:00"/>
    <s v="February Tech Deals"/>
    <d v="2022-02-01T00:00:00"/>
    <d v="2022-02-15T00:00:00"/>
    <s v="Email"/>
    <n v="4500"/>
    <n v="1300"/>
    <n v="80"/>
    <s v="Standard"/>
    <s v="Debit Card"/>
    <n v="3"/>
  </r>
  <r>
    <x v="6"/>
    <x v="5"/>
    <x v="4"/>
    <x v="4"/>
    <n v="25"/>
    <s v="Female"/>
    <x v="6"/>
    <x v="1"/>
    <x v="6"/>
    <x v="0"/>
    <n v="40"/>
    <x v="2"/>
    <x v="2"/>
    <s v="Online"/>
    <d v="2022-01-05T00:00:00"/>
    <s v="Winter Fashion Sale"/>
    <d v="2022-02-05T00:00:00"/>
    <d v="2022-02-20T00:00:00"/>
    <s v="Social Media"/>
    <n v="3500"/>
    <n v="1100"/>
    <n v="60"/>
    <s v="Express"/>
    <s v="Credit Card"/>
    <n v="4"/>
  </r>
  <r>
    <x v="7"/>
    <x v="6"/>
    <x v="2"/>
    <x v="2"/>
    <n v="42"/>
    <s v="Female"/>
    <x v="7"/>
    <x v="0"/>
    <x v="7"/>
    <x v="0"/>
    <n v="60"/>
    <x v="2"/>
    <x v="0"/>
    <s v="Offline"/>
    <d v="2021-12-20T00:00:00"/>
    <s v="March Madness Sale"/>
    <d v="2022-03-01T00:00:00"/>
    <d v="2022-03-10T00:00:00"/>
    <s v="Google Ads"/>
    <n v="6000"/>
    <n v="1800"/>
    <n v="110"/>
    <s v="Standard"/>
    <s v="PayPal"/>
    <n v="7"/>
  </r>
  <r>
    <x v="8"/>
    <x v="7"/>
    <x v="0"/>
    <x v="0"/>
    <n v="28"/>
    <s v="Female"/>
    <x v="8"/>
    <x v="0"/>
    <x v="8"/>
    <x v="0"/>
    <n v="10"/>
    <x v="0"/>
    <x v="1"/>
    <s v="Online"/>
    <d v="2021-12-01T00:00:00"/>
    <s v="Spring Tech Deals"/>
    <d v="2022-03-01T00:00:00"/>
    <d v="2022-03-15T00:00:00"/>
    <s v="Email"/>
    <n v="5500"/>
    <n v="1600"/>
    <n v="90"/>
    <s v="Standard"/>
    <s v="Credit Card"/>
    <n v="5"/>
  </r>
  <r>
    <x v="9"/>
    <x v="8"/>
    <x v="5"/>
    <x v="5"/>
    <n v="38"/>
    <s v="Male"/>
    <x v="9"/>
    <x v="2"/>
    <x v="9"/>
    <x v="0"/>
    <n v="25"/>
    <x v="3"/>
    <x v="3"/>
    <s v="Online"/>
    <d v="2022-01-08T00:00:00"/>
    <s v="April Footwear Promo"/>
    <d v="2022-04-10T00:00:00"/>
    <d v="2022-04-25T00:00:00"/>
    <s v="Facebook Ads"/>
    <n v="3800"/>
    <n v="1100"/>
    <n v="65"/>
    <s v="Standard"/>
    <s v="Debit Card"/>
    <n v="2"/>
  </r>
  <r>
    <x v="10"/>
    <x v="9"/>
    <x v="3"/>
    <x v="3"/>
    <n v="30"/>
    <s v="Male"/>
    <x v="10"/>
    <x v="1"/>
    <x v="10"/>
    <x v="2"/>
    <n v="3"/>
    <x v="3"/>
    <x v="2"/>
    <s v="Offline"/>
    <d v="2022-01-01T00:00:00"/>
    <s v="May Day Deals"/>
    <d v="2022-05-01T00:00:00"/>
    <d v="2022-05-10T00:00:00"/>
    <s v="Email"/>
    <n v="2000"/>
    <n v="700"/>
    <n v="35"/>
    <s v="Standard"/>
    <s v="Credit Card"/>
    <n v="2"/>
  </r>
  <r>
    <x v="11"/>
    <x v="10"/>
    <x v="6"/>
    <x v="6"/>
    <n v="31"/>
    <s v="Female"/>
    <x v="11"/>
    <x v="0"/>
    <x v="11"/>
    <x v="0"/>
    <n v="50"/>
    <x v="0"/>
    <x v="0"/>
    <s v="Online"/>
    <d v="2022-01-10T00:00:00"/>
    <s v="Summer Gadget Sale"/>
    <d v="2022-06-01T00:00:00"/>
    <d v="2022-06-15T00:00:00"/>
    <s v="Google Ads"/>
    <n v="6500"/>
    <n v="1900"/>
    <n v="115"/>
    <s v="Express"/>
    <s v="PayPal"/>
    <n v="6"/>
  </r>
  <r>
    <x v="12"/>
    <x v="11"/>
    <x v="4"/>
    <x v="4"/>
    <n v="25"/>
    <s v="Female"/>
    <x v="12"/>
    <x v="1"/>
    <x v="12"/>
    <x v="0"/>
    <n v="45"/>
    <x v="2"/>
    <x v="1"/>
    <s v="Online"/>
    <d v="2022-01-05T00:00:00"/>
    <s v="Mid-Year Apparel"/>
    <d v="2022-07-01T00:00:00"/>
    <d v="2022-07-15T00:00:00"/>
    <s v="Social Media"/>
    <n v="4200"/>
    <n v="1300"/>
    <n v="75"/>
    <s v="Standard"/>
    <s v="Credit Card"/>
    <n v="4"/>
  </r>
  <r>
    <x v="13"/>
    <x v="12"/>
    <x v="7"/>
    <x v="7"/>
    <n v="45"/>
    <s v="Male"/>
    <x v="13"/>
    <x v="3"/>
    <x v="13"/>
    <x v="0"/>
    <n v="18"/>
    <x v="1"/>
    <x v="2"/>
    <s v="Online"/>
    <d v="2022-01-12T00:00:00"/>
    <s v="August Home Deals"/>
    <d v="2022-08-05T00:00:00"/>
    <d v="2022-08-20T00:00:00"/>
    <s v="Email"/>
    <n v="3000"/>
    <n v="900"/>
    <n v="45"/>
    <s v="Standard"/>
    <s v="Debit Card"/>
    <n v="3"/>
  </r>
  <r>
    <x v="14"/>
    <x v="13"/>
    <x v="8"/>
    <x v="8"/>
    <n v="29"/>
    <s v="Female"/>
    <x v="14"/>
    <x v="3"/>
    <x v="14"/>
    <x v="0"/>
    <n v="22"/>
    <x v="3"/>
    <x v="3"/>
    <s v="Offline"/>
    <d v="2022-01-15T00:00:00"/>
    <s v="September Kitchenware"/>
    <d v="2022-09-10T00:00:00"/>
    <d v="2022-09-25T00:00:00"/>
    <s v="Facebook Ads"/>
    <n v="2800"/>
    <n v="850"/>
    <n v="40"/>
    <s v="Standard"/>
    <s v="Credit Card"/>
    <n v="2"/>
  </r>
  <r>
    <x v="15"/>
    <x v="14"/>
    <x v="0"/>
    <x v="0"/>
    <n v="28"/>
    <s v="Female"/>
    <x v="15"/>
    <x v="0"/>
    <x v="9"/>
    <x v="0"/>
    <n v="16"/>
    <x v="0"/>
    <x v="0"/>
    <s v="Online"/>
    <d v="2021-12-01T00:00:00"/>
    <s v="October Tech Fest"/>
    <d v="2022-10-15T00:00:00"/>
    <d v="2022-10-30T00:00:00"/>
    <s v="Google Ads"/>
    <n v="7200"/>
    <n v="2100"/>
    <n v="130"/>
    <s v="Standard"/>
    <s v="Credit Card"/>
    <n v="5"/>
  </r>
  <r>
    <x v="16"/>
    <x v="15"/>
    <x v="9"/>
    <x v="9"/>
    <n v="33"/>
    <s v="Male"/>
    <x v="16"/>
    <x v="3"/>
    <x v="15"/>
    <x v="0"/>
    <n v="8"/>
    <x v="2"/>
    <x v="1"/>
    <s v="Online"/>
    <d v="2022-01-18T00:00:00"/>
    <s v="November Home Decor"/>
    <d v="2022-11-01T00:00:00"/>
    <d v="2022-11-15T00:00:00"/>
    <s v="Email"/>
    <n v="2700"/>
    <n v="800"/>
    <n v="38"/>
    <s v="Express"/>
    <s v="PayPal"/>
    <n v="4"/>
  </r>
  <r>
    <x v="17"/>
    <x v="16"/>
    <x v="1"/>
    <x v="1"/>
    <n v="35"/>
    <s v="Male"/>
    <x v="17"/>
    <x v="1"/>
    <x v="16"/>
    <x v="0"/>
    <n v="15"/>
    <x v="1"/>
    <x v="2"/>
    <s v="Online"/>
    <d v="2021-11-10T00:00:00"/>
    <s v="Holiday Apparel Sale"/>
    <d v="2022-12-01T00:00:00"/>
    <d v="2022-12-20T00:00:00"/>
    <s v="Social Media"/>
    <n v="5000"/>
    <n v="1600"/>
    <n v="95"/>
    <s v="Standard"/>
    <s v="Debit Card"/>
    <n v="3"/>
  </r>
  <r>
    <x v="18"/>
    <x v="17"/>
    <x v="2"/>
    <x v="2"/>
    <n v="42"/>
    <s v="Female"/>
    <x v="18"/>
    <x v="0"/>
    <x v="17"/>
    <x v="0"/>
    <n v="80"/>
    <x v="2"/>
    <x v="0"/>
    <s v="Online"/>
    <d v="2021-12-20T00:00:00"/>
    <s v="Winter Sale 2023"/>
    <d v="2023-01-01T00:00:00"/>
    <d v="2023-01-15T00:00:00"/>
    <s v="Email"/>
    <n v="5000"/>
    <n v="1500"/>
    <n v="100"/>
    <s v="Standard"/>
    <s v="Credit Card"/>
    <n v="7"/>
  </r>
  <r>
    <x v="19"/>
    <x v="18"/>
    <x v="5"/>
    <x v="5"/>
    <n v="38"/>
    <s v="Male"/>
    <x v="19"/>
    <x v="2"/>
    <x v="18"/>
    <x v="0"/>
    <n v="30"/>
    <x v="3"/>
    <x v="3"/>
    <s v="Offline"/>
    <d v="2022-01-08T00:00:00"/>
    <s v="New Year Promo 2023"/>
    <d v="2023-01-01T00:00:00"/>
    <d v="2023-01-07T00:00:00"/>
    <s v="Social Media"/>
    <n v="3000"/>
    <n v="1000"/>
    <n v="50"/>
    <s v="Express"/>
    <s v="Debit Card"/>
    <n v="2"/>
  </r>
  <r>
    <x v="20"/>
    <x v="19"/>
    <x v="0"/>
    <x v="0"/>
    <n v="28"/>
    <s v="Female"/>
    <x v="20"/>
    <x v="0"/>
    <x v="19"/>
    <x v="0"/>
    <n v="160"/>
    <x v="0"/>
    <x v="1"/>
    <s v="Online"/>
    <d v="2021-12-01T00:00:00"/>
    <s v="February Tech Deals 2023"/>
    <d v="2023-02-01T00:00:00"/>
    <d v="2023-02-15T00:00:00"/>
    <s v="Email"/>
    <n v="4500"/>
    <n v="1300"/>
    <n v="80"/>
    <s v="Standard"/>
    <s v="Credit Card"/>
    <n v="5"/>
  </r>
  <r>
    <x v="21"/>
    <x v="20"/>
    <x v="6"/>
    <x v="6"/>
    <n v="31"/>
    <s v="Female"/>
    <x v="21"/>
    <x v="0"/>
    <x v="12"/>
    <x v="0"/>
    <n v="25"/>
    <x v="0"/>
    <x v="2"/>
    <s v="Online"/>
    <d v="2022-01-10T00:00:00"/>
    <s v="March Madness Sale 2023"/>
    <d v="2023-03-01T00:00:00"/>
    <d v="2023-03-10T00:00:00"/>
    <s v="Google Ads"/>
    <n v="6000"/>
    <n v="1800"/>
    <n v="110"/>
    <s v="Standard"/>
    <s v="PayPal"/>
    <n v="6"/>
  </r>
  <r>
    <x v="22"/>
    <x v="21"/>
    <x v="4"/>
    <x v="4"/>
    <n v="25"/>
    <s v="Female"/>
    <x v="22"/>
    <x v="1"/>
    <x v="13"/>
    <x v="0"/>
    <n v="28"/>
    <x v="2"/>
    <x v="0"/>
    <s v="Online"/>
    <d v="2022-01-05T00:00:00"/>
    <s v="April Fashion Sale 2023"/>
    <d v="2023-04-15T00:00:00"/>
    <d v="2023-04-30T00:00:00"/>
    <s v="Social Media"/>
    <n v="3500"/>
    <n v="1100"/>
    <n v="60"/>
    <s v="Express"/>
    <s v="Credit Card"/>
    <n v="4"/>
  </r>
  <r>
    <x v="23"/>
    <x v="22"/>
    <x v="7"/>
    <x v="7"/>
    <n v="45"/>
    <s v="Male"/>
    <x v="23"/>
    <x v="3"/>
    <x v="6"/>
    <x v="0"/>
    <n v="30"/>
    <x v="1"/>
    <x v="1"/>
    <s v="Online"/>
    <d v="2022-01-12T00:00:00"/>
    <s v="May Day Home Deals 2023"/>
    <d v="2023-05-01T00:00:00"/>
    <d v="2023-05-10T00:00:00"/>
    <s v="Email"/>
    <n v="2000"/>
    <n v="700"/>
    <n v="35"/>
    <s v="Standard"/>
    <s v="Debit Card"/>
    <n v="3"/>
  </r>
  <r>
    <x v="24"/>
    <x v="23"/>
    <x v="8"/>
    <x v="8"/>
    <n v="29"/>
    <s v="Female"/>
    <x v="24"/>
    <x v="1"/>
    <x v="20"/>
    <x v="1"/>
    <n v="15"/>
    <x v="3"/>
    <x v="2"/>
    <s v="Offline"/>
    <d v="2022-01-15T00:00:00"/>
    <s v="June Sports Gear 2023"/>
    <d v="2023-06-01T00:00:00"/>
    <d v="2023-06-15T00:00:00"/>
    <s v="Facebook Ads"/>
    <n v="2800"/>
    <n v="850"/>
    <n v="40"/>
    <s v="Standard"/>
    <s v="Credit Card"/>
    <n v="2"/>
  </r>
  <r>
    <x v="25"/>
    <x v="24"/>
    <x v="9"/>
    <x v="9"/>
    <n v="33"/>
    <s v="Male"/>
    <x v="25"/>
    <x v="0"/>
    <x v="14"/>
    <x v="0"/>
    <n v="20"/>
    <x v="2"/>
    <x v="3"/>
    <s v="Online"/>
    <d v="2022-01-18T00:00:00"/>
    <s v="Summer Gadget Sale 2023"/>
    <d v="2023-07-01T00:00:00"/>
    <d v="2023-07-15T00:00:00"/>
    <s v="Google Ads"/>
    <n v="6500"/>
    <n v="1900"/>
    <n v="115"/>
    <s v="Express"/>
    <s v="PayPal"/>
    <n v="4"/>
  </r>
  <r>
    <x v="26"/>
    <x v="25"/>
    <x v="0"/>
    <x v="0"/>
    <n v="28"/>
    <s v="Female"/>
    <x v="26"/>
    <x v="0"/>
    <x v="21"/>
    <x v="0"/>
    <n v="40"/>
    <x v="0"/>
    <x v="0"/>
    <s v="Online"/>
    <d v="2021-12-01T00:00:00"/>
    <s v="August Gaming Deals 2023"/>
    <d v="2023-08-10T00:00:00"/>
    <d v="2023-08-25T00:00:00"/>
    <s v="Email"/>
    <n v="5500"/>
    <n v="1600"/>
    <n v="90"/>
    <s v="Standard"/>
    <s v="Credit Card"/>
    <n v="5"/>
  </r>
  <r>
    <x v="27"/>
    <x v="26"/>
    <x v="1"/>
    <x v="1"/>
    <n v="35"/>
    <s v="Male"/>
    <x v="27"/>
    <x v="1"/>
    <x v="2"/>
    <x v="0"/>
    <n v="60"/>
    <x v="1"/>
    <x v="1"/>
    <s v="Online"/>
    <d v="2021-11-10T00:00:00"/>
    <s v="Fall Fashion 2023"/>
    <d v="2023-09-15T00:00:00"/>
    <d v="2023-09-30T00:00:00"/>
    <s v="Social Media"/>
    <n v="4000"/>
    <n v="1200"/>
    <n v="70"/>
    <s v="Standard"/>
    <s v="Debit Card"/>
    <n v="3"/>
  </r>
  <r>
    <x v="28"/>
    <x v="27"/>
    <x v="2"/>
    <x v="2"/>
    <n v="42"/>
    <s v="Female"/>
    <x v="28"/>
    <x v="3"/>
    <x v="22"/>
    <x v="0"/>
    <n v="70"/>
    <x v="2"/>
    <x v="2"/>
    <s v="Online"/>
    <d v="2021-12-20T00:00:00"/>
    <s v="October Home Tech 2023"/>
    <d v="2023-10-20T00:00:00"/>
    <d v="2023-10-31T00:00:00"/>
    <s v="Google Ads"/>
    <n v="7200"/>
    <n v="2100"/>
    <n v="130"/>
    <s v="Express"/>
    <s v="PayPal"/>
    <n v="7"/>
  </r>
  <r>
    <x v="29"/>
    <x v="28"/>
    <x v="3"/>
    <x v="3"/>
    <n v="30"/>
    <s v="Male"/>
    <x v="29"/>
    <x v="2"/>
    <x v="23"/>
    <x v="0"/>
    <n v="35"/>
    <x v="3"/>
    <x v="3"/>
    <s v="Offline"/>
    <d v="2022-01-01T00:00:00"/>
    <s v="November Footwear Promo 2023"/>
    <d v="2023-11-01T00:00:00"/>
    <d v="2023-11-15T00:00:00"/>
    <s v="Facebook Ads"/>
    <n v="3800"/>
    <n v="1100"/>
    <n v="65"/>
    <s v="Standard"/>
    <s v="Credit Card"/>
    <n v="2"/>
  </r>
  <r>
    <x v="30"/>
    <x v="29"/>
    <x v="4"/>
    <x v="4"/>
    <n v="25"/>
    <s v="Female"/>
    <x v="30"/>
    <x v="3"/>
    <x v="16"/>
    <x v="2"/>
    <n v="15"/>
    <x v="2"/>
    <x v="0"/>
    <s v="Online"/>
    <d v="2022-01-05T00:00:00"/>
    <s v="Holiday Decor Sale 2023"/>
    <d v="2023-12-01T00:00:00"/>
    <d v="2023-12-20T00:00:00"/>
    <s v="Email"/>
    <n v="2700"/>
    <n v="800"/>
    <n v="38"/>
    <s v="Standard"/>
    <s v="Credit Card"/>
    <n v="4"/>
  </r>
  <r>
    <x v="31"/>
    <x v="30"/>
    <x v="5"/>
    <x v="5"/>
    <n v="38"/>
    <s v="Male"/>
    <x v="31"/>
    <x v="0"/>
    <x v="24"/>
    <x v="0"/>
    <n v="260"/>
    <x v="3"/>
    <x v="1"/>
    <s v="Online"/>
    <d v="2022-01-08T00:00:00"/>
    <s v="Winter Sale 2024"/>
    <d v="2024-01-01T00:00:00"/>
    <d v="2024-01-15T00:00:00"/>
    <s v="Email"/>
    <n v="5200"/>
    <n v="1600"/>
    <n v="105"/>
    <s v="Standard"/>
    <s v="Credit Card"/>
    <n v="2"/>
  </r>
  <r>
    <x v="32"/>
    <x v="31"/>
    <x v="6"/>
    <x v="6"/>
    <n v="31"/>
    <s v="Female"/>
    <x v="32"/>
    <x v="0"/>
    <x v="21"/>
    <x v="0"/>
    <n v="35"/>
    <x v="0"/>
    <x v="2"/>
    <s v="Online"/>
    <d v="2022-01-10T00:00:00"/>
    <s v="New Year Gadget Promo 2024"/>
    <d v="2024-01-01T00:00:00"/>
    <d v="2024-01-07T00:00:00"/>
    <s v="Social Media"/>
    <n v="3200"/>
    <n v="1100"/>
    <n v="55"/>
    <s v="Express"/>
    <s v="PayPal"/>
    <n v="6"/>
  </r>
  <r>
    <x v="33"/>
    <x v="32"/>
    <x v="7"/>
    <x v="7"/>
    <n v="45"/>
    <s v="Male"/>
    <x v="33"/>
    <x v="3"/>
    <x v="2"/>
    <x v="0"/>
    <n v="40"/>
    <x v="1"/>
    <x v="0"/>
    <s v="Online"/>
    <d v="2022-01-12T00:00:00"/>
    <s v="February Home Tech 2024"/>
    <d v="2024-02-01T00:00:00"/>
    <d v="2024-02-15T00:00:00"/>
    <s v="Google Ads"/>
    <n v="6200"/>
    <n v="1900"/>
    <n v="125"/>
    <s v="Standard"/>
    <s v="Debit Card"/>
    <n v="3"/>
  </r>
  <r>
    <x v="34"/>
    <x v="33"/>
    <x v="8"/>
    <x v="8"/>
    <n v="29"/>
    <s v="Female"/>
    <x v="34"/>
    <x v="1"/>
    <x v="25"/>
    <x v="0"/>
    <n v="50"/>
    <x v="3"/>
    <x v="1"/>
    <s v="Offline"/>
    <d v="2022-01-15T00:00:00"/>
    <s v="March Fashion Sale 2024"/>
    <d v="2024-03-15T00:00:00"/>
    <d v="2024-03-30T00:00:00"/>
    <s v="Facebook Ads"/>
    <n v="4200"/>
    <n v="1300"/>
    <n v="75"/>
    <s v="Standard"/>
    <s v="Credit Card"/>
    <n v="2"/>
  </r>
  <r>
    <x v="35"/>
    <x v="34"/>
    <x v="9"/>
    <x v="9"/>
    <n v="33"/>
    <s v="Male"/>
    <x v="35"/>
    <x v="0"/>
    <x v="13"/>
    <x v="0"/>
    <n v="15"/>
    <x v="2"/>
    <x v="2"/>
    <s v="Online"/>
    <d v="2022-01-18T00:00:00"/>
    <s v="April Sound Deals 2024"/>
    <d v="2024-04-20T00:00:00"/>
    <d v="2024-04-30T00:00:00"/>
    <s v="Email"/>
    <n v="2800"/>
    <n v="850"/>
    <n v="42"/>
    <s v="Standard"/>
    <s v="PayPal"/>
    <n v="4"/>
  </r>
  <r>
    <x v="36"/>
    <x v="35"/>
    <x v="0"/>
    <x v="0"/>
    <n v="28"/>
    <s v="Female"/>
    <x v="36"/>
    <x v="0"/>
    <x v="6"/>
    <x v="0"/>
    <n v="20"/>
    <x v="0"/>
    <x v="3"/>
    <s v="Online"/>
    <d v="2021-12-01T00:00:00"/>
    <s v="May Reading Promo 2024"/>
    <d v="2024-05-01T00:00:00"/>
    <d v="2024-05-10T00:00:00"/>
    <s v="Social Media"/>
    <n v="2200"/>
    <n v="750"/>
    <n v="37"/>
    <s v="Express"/>
    <s v="Credit Card"/>
    <n v="5"/>
  </r>
  <r>
    <x v="37"/>
    <x v="36"/>
    <x v="1"/>
    <x v="1"/>
    <n v="35"/>
    <s v="Male"/>
    <x v="37"/>
    <x v="4"/>
    <x v="26"/>
    <x v="0"/>
    <n v="50"/>
    <x v="1"/>
    <x v="0"/>
    <s v="Offline"/>
    <d v="2021-11-10T00:00:00"/>
    <s v="June Outdoor Gear 2024"/>
    <d v="2024-06-05T00:00:00"/>
    <d v="2024-06-20T00:00:00"/>
    <s v="Google Ads"/>
    <n v="5800"/>
    <n v="1700"/>
    <n v="100"/>
    <s v="Standard"/>
    <s v="Debit Card"/>
    <n v="3"/>
  </r>
  <r>
    <x v="38"/>
    <x v="37"/>
    <x v="2"/>
    <x v="2"/>
    <n v="42"/>
    <s v="Female"/>
    <x v="38"/>
    <x v="3"/>
    <x v="4"/>
    <x v="0"/>
    <n v="12"/>
    <x v="2"/>
    <x v="1"/>
    <s v="Online"/>
    <d v="2021-12-20T00:00:00"/>
    <s v="July Health Tech 2024"/>
    <d v="2024-07-10T00:00:00"/>
    <d v="2024-07-25T00:00:00"/>
    <s v="Email"/>
    <n v="3000"/>
    <n v="900"/>
    <n v="45"/>
    <s v="Standard"/>
    <s v="PayPal"/>
    <n v="7"/>
  </r>
  <r>
    <x v="39"/>
    <x v="38"/>
    <x v="3"/>
    <x v="3"/>
    <n v="30"/>
    <s v="Male"/>
    <x v="39"/>
    <x v="1"/>
    <x v="9"/>
    <x v="0"/>
    <n v="25"/>
    <x v="3"/>
    <x v="2"/>
    <s v="Online"/>
    <d v="2022-01-01T00:00:00"/>
    <s v="August Back-to-School 2024"/>
    <d v="2024-08-15T00:00:00"/>
    <d v="2024-08-30T00:00:00"/>
    <s v="Facebook Ads"/>
    <n v="3500"/>
    <n v="1000"/>
    <n v="55"/>
    <s v="Standard"/>
    <s v="Credit Card"/>
    <n v="2"/>
  </r>
  <r>
    <x v="40"/>
    <x v="39"/>
    <x v="4"/>
    <x v="4"/>
    <n v="25"/>
    <s v="Female"/>
    <x v="40"/>
    <x v="1"/>
    <x v="27"/>
    <x v="1"/>
    <n v="8"/>
    <x v="2"/>
    <x v="3"/>
    <s v="Online"/>
    <d v="2022-01-05T00:00:00"/>
    <s v="September Fall Fashion 2024"/>
    <d v="2024-09-20T00:00:00"/>
    <d v="2024-09-30T00:00:00"/>
    <s v="Email"/>
    <n v="2500"/>
    <n v="700"/>
    <n v="30"/>
    <s v="Express"/>
    <s v="Credit Card"/>
    <n v="4"/>
  </r>
  <r>
    <x v="41"/>
    <x v="40"/>
    <x v="5"/>
    <x v="5"/>
    <n v="38"/>
    <s v="Male"/>
    <x v="41"/>
    <x v="0"/>
    <x v="28"/>
    <x v="0"/>
    <n v="90"/>
    <x v="3"/>
    <x v="0"/>
    <s v="Online"/>
    <d v="2022-01-08T00:00:00"/>
    <s v="October Gaming Fest 2024"/>
    <d v="2024-10-25T00:00:00"/>
    <d v="2024-10-31T00:00:00"/>
    <s v="Google Ads"/>
    <n v="7500"/>
    <n v="2200"/>
    <n v="140"/>
    <s v="Standard"/>
    <s v="Debit Card"/>
    <n v="2"/>
  </r>
  <r>
    <x v="42"/>
    <x v="41"/>
    <x v="6"/>
    <x v="6"/>
    <n v="31"/>
    <s v="Female"/>
    <x v="42"/>
    <x v="3"/>
    <x v="1"/>
    <x v="3"/>
    <n v="10"/>
    <x v="0"/>
    <x v="1"/>
    <s v="Online"/>
    <d v="2022-01-10T00:00:00"/>
    <s v="November Smart Home 2024"/>
    <d v="2024-11-01T00:00:00"/>
    <d v="2024-11-15T00:00:00"/>
    <s v="Email"/>
    <n v="2900"/>
    <n v="880"/>
    <n v="40"/>
    <s v="Standard"/>
    <s v="PayPal"/>
    <n v="6"/>
  </r>
  <r>
    <x v="43"/>
    <x v="42"/>
    <x v="7"/>
    <x v="7"/>
    <n v="45"/>
    <s v="Male"/>
    <x v="43"/>
    <x v="1"/>
    <x v="3"/>
    <x v="1"/>
    <n v="10"/>
    <x v="1"/>
    <x v="2"/>
    <s v="Offline"/>
    <d v="2022-01-12T00:00:00"/>
    <s v="Holiday Warmth Sale 2024"/>
    <d v="2024-12-05T00:00:00"/>
    <d v="2024-12-20T00:00:00"/>
    <s v="Social Media"/>
    <n v="5200"/>
    <n v="1700"/>
    <n v="100"/>
    <s v="Express"/>
    <s v="Debit Card"/>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d v="2022-01-05T00:00:00"/>
    <x v="0"/>
    <x v="0"/>
    <n v="28"/>
    <x v="0"/>
    <x v="0"/>
    <x v="0"/>
    <x v="0"/>
    <x v="0"/>
    <x v="0"/>
  </r>
  <r>
    <x v="1"/>
    <d v="2022-01-05T00:00:00"/>
    <x v="1"/>
    <x v="1"/>
    <n v="35"/>
    <x v="1"/>
    <x v="1"/>
    <x v="1"/>
    <x v="1"/>
    <x v="1"/>
    <x v="1"/>
  </r>
  <r>
    <x v="2"/>
    <d v="2022-01-06T00:00:00"/>
    <x v="2"/>
    <x v="0"/>
    <n v="42"/>
    <x v="2"/>
    <x v="0"/>
    <x v="2"/>
    <x v="0"/>
    <x v="1"/>
    <x v="0"/>
  </r>
  <r>
    <x v="0"/>
    <d v="2022-01-07T00:00:00"/>
    <x v="3"/>
    <x v="0"/>
    <n v="28"/>
    <x v="0"/>
    <x v="0"/>
    <x v="0"/>
    <x v="0"/>
    <x v="1"/>
    <x v="0"/>
  </r>
  <r>
    <x v="3"/>
    <d v="2022-01-08T00:00:00"/>
    <x v="4"/>
    <x v="0"/>
    <n v="30"/>
    <x v="3"/>
    <x v="1"/>
    <x v="3"/>
    <x v="1"/>
    <x v="1"/>
    <x v="1"/>
  </r>
  <r>
    <x v="1"/>
    <d v="2022-02-10T00:00:00"/>
    <x v="5"/>
    <x v="0"/>
    <n v="35"/>
    <x v="1"/>
    <x v="0"/>
    <x v="1"/>
    <x v="0"/>
    <x v="1"/>
    <x v="0"/>
  </r>
  <r>
    <x v="4"/>
    <d v="2022-02-12T00:00:00"/>
    <x v="6"/>
    <x v="0"/>
    <n v="25"/>
    <x v="4"/>
    <x v="1"/>
    <x v="4"/>
    <x v="0"/>
    <x v="1"/>
    <x v="0"/>
  </r>
  <r>
    <x v="2"/>
    <d v="2022-03-01T00:00:00"/>
    <x v="7"/>
    <x v="0"/>
    <n v="42"/>
    <x v="2"/>
    <x v="0"/>
    <x v="2"/>
    <x v="1"/>
    <x v="0"/>
    <x v="1"/>
  </r>
  <r>
    <x v="0"/>
    <d v="2022-03-05T00:00:00"/>
    <x v="8"/>
    <x v="0"/>
    <n v="28"/>
    <x v="0"/>
    <x v="0"/>
    <x v="0"/>
    <x v="0"/>
    <x v="1"/>
    <x v="0"/>
  </r>
  <r>
    <x v="5"/>
    <d v="2022-04-15T00:00:00"/>
    <x v="9"/>
    <x v="0"/>
    <n v="38"/>
    <x v="3"/>
    <x v="2"/>
    <x v="5"/>
    <x v="0"/>
    <x v="1"/>
    <x v="0"/>
  </r>
  <r>
    <x v="3"/>
    <d v="2022-05-20T00:00:00"/>
    <x v="10"/>
    <x v="2"/>
    <n v="30"/>
    <x v="3"/>
    <x v="1"/>
    <x v="3"/>
    <x v="1"/>
    <x v="1"/>
    <x v="1"/>
  </r>
  <r>
    <x v="6"/>
    <d v="2022-06-01T00:00:00"/>
    <x v="11"/>
    <x v="0"/>
    <n v="31"/>
    <x v="5"/>
    <x v="0"/>
    <x v="6"/>
    <x v="0"/>
    <x v="0"/>
    <x v="0"/>
  </r>
  <r>
    <x v="4"/>
    <d v="2022-07-05T00:00:00"/>
    <x v="12"/>
    <x v="0"/>
    <n v="25"/>
    <x v="4"/>
    <x v="1"/>
    <x v="4"/>
    <x v="0"/>
    <x v="1"/>
    <x v="0"/>
  </r>
  <r>
    <x v="7"/>
    <d v="2022-08-10T00:00:00"/>
    <x v="13"/>
    <x v="0"/>
    <n v="45"/>
    <x v="1"/>
    <x v="3"/>
    <x v="7"/>
    <x v="0"/>
    <x v="1"/>
    <x v="0"/>
  </r>
  <r>
    <x v="8"/>
    <d v="2022-09-15T00:00:00"/>
    <x v="14"/>
    <x v="0"/>
    <n v="29"/>
    <x v="3"/>
    <x v="3"/>
    <x v="8"/>
    <x v="1"/>
    <x v="1"/>
    <x v="1"/>
  </r>
  <r>
    <x v="0"/>
    <d v="2022-10-20T00:00:00"/>
    <x v="9"/>
    <x v="0"/>
    <n v="28"/>
    <x v="0"/>
    <x v="0"/>
    <x v="0"/>
    <x v="0"/>
    <x v="1"/>
    <x v="0"/>
  </r>
  <r>
    <x v="9"/>
    <d v="2022-11-01T00:00:00"/>
    <x v="15"/>
    <x v="0"/>
    <n v="33"/>
    <x v="4"/>
    <x v="3"/>
    <x v="9"/>
    <x v="0"/>
    <x v="1"/>
    <x v="0"/>
  </r>
  <r>
    <x v="1"/>
    <d v="2022-12-05T00:00:00"/>
    <x v="16"/>
    <x v="0"/>
    <n v="35"/>
    <x v="1"/>
    <x v="1"/>
    <x v="1"/>
    <x v="0"/>
    <x v="1"/>
    <x v="0"/>
  </r>
  <r>
    <x v="2"/>
    <d v="2023-01-05T00:00:00"/>
    <x v="17"/>
    <x v="0"/>
    <n v="42"/>
    <x v="2"/>
    <x v="0"/>
    <x v="2"/>
    <x v="0"/>
    <x v="0"/>
    <x v="0"/>
  </r>
  <r>
    <x v="5"/>
    <d v="2023-01-23T00:00:00"/>
    <x v="18"/>
    <x v="0"/>
    <n v="38"/>
    <x v="3"/>
    <x v="2"/>
    <x v="5"/>
    <x v="1"/>
    <x v="1"/>
    <x v="1"/>
  </r>
  <r>
    <x v="0"/>
    <d v="2023-02-10T00:00:00"/>
    <x v="19"/>
    <x v="0"/>
    <n v="28"/>
    <x v="0"/>
    <x v="0"/>
    <x v="0"/>
    <x v="0"/>
    <x v="0"/>
    <x v="0"/>
  </r>
  <r>
    <x v="6"/>
    <d v="2023-03-15T00:00:00"/>
    <x v="12"/>
    <x v="0"/>
    <n v="31"/>
    <x v="5"/>
    <x v="0"/>
    <x v="6"/>
    <x v="0"/>
    <x v="1"/>
    <x v="0"/>
  </r>
  <r>
    <x v="4"/>
    <d v="2023-04-20T00:00:00"/>
    <x v="13"/>
    <x v="0"/>
    <n v="25"/>
    <x v="4"/>
    <x v="1"/>
    <x v="4"/>
    <x v="0"/>
    <x v="1"/>
    <x v="0"/>
  </r>
  <r>
    <x v="7"/>
    <d v="2023-05-01T00:00:00"/>
    <x v="6"/>
    <x v="0"/>
    <n v="45"/>
    <x v="1"/>
    <x v="3"/>
    <x v="7"/>
    <x v="0"/>
    <x v="1"/>
    <x v="0"/>
  </r>
  <r>
    <x v="8"/>
    <d v="2023-06-05T00:00:00"/>
    <x v="20"/>
    <x v="1"/>
    <n v="29"/>
    <x v="3"/>
    <x v="1"/>
    <x v="8"/>
    <x v="1"/>
    <x v="1"/>
    <x v="1"/>
  </r>
  <r>
    <x v="9"/>
    <d v="2023-07-10T00:00:00"/>
    <x v="14"/>
    <x v="0"/>
    <n v="33"/>
    <x v="4"/>
    <x v="0"/>
    <x v="9"/>
    <x v="0"/>
    <x v="1"/>
    <x v="0"/>
  </r>
  <r>
    <x v="0"/>
    <d v="2023-08-15T00:00:00"/>
    <x v="21"/>
    <x v="0"/>
    <n v="28"/>
    <x v="0"/>
    <x v="0"/>
    <x v="0"/>
    <x v="0"/>
    <x v="0"/>
    <x v="0"/>
  </r>
  <r>
    <x v="1"/>
    <d v="2023-09-20T00:00:00"/>
    <x v="2"/>
    <x v="0"/>
    <n v="35"/>
    <x v="1"/>
    <x v="1"/>
    <x v="1"/>
    <x v="0"/>
    <x v="1"/>
    <x v="0"/>
  </r>
  <r>
    <x v="2"/>
    <d v="2023-10-25T00:00:00"/>
    <x v="22"/>
    <x v="0"/>
    <n v="42"/>
    <x v="2"/>
    <x v="3"/>
    <x v="2"/>
    <x v="0"/>
    <x v="0"/>
    <x v="0"/>
  </r>
  <r>
    <x v="3"/>
    <d v="2023-11-01T00:00:00"/>
    <x v="23"/>
    <x v="0"/>
    <n v="30"/>
    <x v="3"/>
    <x v="2"/>
    <x v="3"/>
    <x v="1"/>
    <x v="1"/>
    <x v="1"/>
  </r>
  <r>
    <x v="4"/>
    <d v="2023-12-05T00:00:00"/>
    <x v="16"/>
    <x v="2"/>
    <n v="25"/>
    <x v="4"/>
    <x v="3"/>
    <x v="4"/>
    <x v="0"/>
    <x v="1"/>
    <x v="0"/>
  </r>
  <r>
    <x v="5"/>
    <d v="2024-01-05T00:00:00"/>
    <x v="24"/>
    <x v="0"/>
    <n v="38"/>
    <x v="3"/>
    <x v="0"/>
    <x v="5"/>
    <x v="0"/>
    <x v="0"/>
    <x v="0"/>
  </r>
  <r>
    <x v="6"/>
    <d v="2024-01-10T00:00:00"/>
    <x v="21"/>
    <x v="0"/>
    <n v="31"/>
    <x v="5"/>
    <x v="0"/>
    <x v="6"/>
    <x v="0"/>
    <x v="0"/>
    <x v="0"/>
  </r>
  <r>
    <x v="7"/>
    <d v="2024-02-15T00:00:00"/>
    <x v="2"/>
    <x v="0"/>
    <n v="45"/>
    <x v="1"/>
    <x v="3"/>
    <x v="7"/>
    <x v="0"/>
    <x v="1"/>
    <x v="0"/>
  </r>
  <r>
    <x v="8"/>
    <d v="2024-03-20T00:00:00"/>
    <x v="25"/>
    <x v="0"/>
    <n v="29"/>
    <x v="3"/>
    <x v="1"/>
    <x v="8"/>
    <x v="1"/>
    <x v="1"/>
    <x v="1"/>
  </r>
  <r>
    <x v="9"/>
    <d v="2024-04-25T00:00:00"/>
    <x v="13"/>
    <x v="0"/>
    <n v="33"/>
    <x v="4"/>
    <x v="0"/>
    <x v="9"/>
    <x v="0"/>
    <x v="1"/>
    <x v="0"/>
  </r>
  <r>
    <x v="0"/>
    <d v="2024-05-01T00:00:00"/>
    <x v="6"/>
    <x v="0"/>
    <n v="28"/>
    <x v="0"/>
    <x v="0"/>
    <x v="0"/>
    <x v="0"/>
    <x v="1"/>
    <x v="0"/>
  </r>
  <r>
    <x v="1"/>
    <d v="2024-06-10T00:00:00"/>
    <x v="26"/>
    <x v="0"/>
    <n v="35"/>
    <x v="1"/>
    <x v="4"/>
    <x v="1"/>
    <x v="1"/>
    <x v="0"/>
    <x v="1"/>
  </r>
  <r>
    <x v="2"/>
    <d v="2024-07-15T00:00:00"/>
    <x v="4"/>
    <x v="0"/>
    <n v="42"/>
    <x v="2"/>
    <x v="3"/>
    <x v="2"/>
    <x v="0"/>
    <x v="1"/>
    <x v="0"/>
  </r>
  <r>
    <x v="3"/>
    <d v="2024-08-20T00:00:00"/>
    <x v="9"/>
    <x v="0"/>
    <n v="30"/>
    <x v="3"/>
    <x v="1"/>
    <x v="3"/>
    <x v="0"/>
    <x v="1"/>
    <x v="0"/>
  </r>
  <r>
    <x v="4"/>
    <d v="2024-09-25T00:00:00"/>
    <x v="27"/>
    <x v="1"/>
    <n v="25"/>
    <x v="4"/>
    <x v="1"/>
    <x v="4"/>
    <x v="0"/>
    <x v="1"/>
    <x v="0"/>
  </r>
  <r>
    <x v="5"/>
    <d v="2024-10-30T00:00:00"/>
    <x v="28"/>
    <x v="0"/>
    <n v="38"/>
    <x v="3"/>
    <x v="0"/>
    <x v="5"/>
    <x v="0"/>
    <x v="0"/>
    <x v="0"/>
  </r>
  <r>
    <x v="6"/>
    <d v="2024-11-05T00:00:00"/>
    <x v="1"/>
    <x v="3"/>
    <n v="31"/>
    <x v="5"/>
    <x v="3"/>
    <x v="6"/>
    <x v="0"/>
    <x v="1"/>
    <x v="0"/>
  </r>
  <r>
    <x v="7"/>
    <d v="2024-12-10T00:00:00"/>
    <x v="3"/>
    <x v="1"/>
    <n v="45"/>
    <x v="1"/>
    <x v="1"/>
    <x v="7"/>
    <x v="1"/>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2-01-05T00:00:00"/>
    <n v="1200"/>
    <n v="1"/>
    <n v="28"/>
    <n v="5"/>
    <s v="Electronics"/>
    <d v="2021-12-01T00:00:00"/>
    <x v="0"/>
    <s v="High Value"/>
    <b v="1"/>
  </r>
  <r>
    <d v="2022-01-05T00:00:00"/>
    <n v="25"/>
    <n v="2"/>
    <n v="35"/>
    <n v="3"/>
    <s v="Apparel"/>
    <d v="2021-11-10T00:00:00"/>
    <x v="1"/>
    <s v="standard Value"/>
    <b v="0"/>
  </r>
  <r>
    <d v="2022-01-06T00:00:00"/>
    <n v="150"/>
    <n v="1"/>
    <n v="42"/>
    <n v="7"/>
    <s v="Electronics"/>
    <d v="2021-12-20T00:00:00"/>
    <x v="0"/>
    <s v="standard Value"/>
    <b v="1"/>
  </r>
  <r>
    <d v="2022-01-07T00:00:00"/>
    <n v="30"/>
    <n v="1"/>
    <n v="28"/>
    <n v="5"/>
    <s v="Electronics"/>
    <d v="2021-12-01T00:00:00"/>
    <x v="0"/>
    <s v="standard Value"/>
    <b v="1"/>
  </r>
  <r>
    <d v="2022-01-08T00:00:00"/>
    <n v="60"/>
    <n v="1"/>
    <n v="30"/>
    <n v="2"/>
    <s v="Apparel"/>
    <d v="2022-01-01T00:00:00"/>
    <x v="1"/>
    <s v="standard Value"/>
    <b v="0"/>
  </r>
  <r>
    <d v="2022-02-10T00:00:00"/>
    <n v="75"/>
    <n v="1"/>
    <n v="35"/>
    <n v="3"/>
    <s v="Electronics"/>
    <d v="2021-11-10T00:00:00"/>
    <x v="0"/>
    <s v="standard Value"/>
    <b v="1"/>
  </r>
  <r>
    <d v="2022-02-12T00:00:00"/>
    <n v="100"/>
    <n v="1"/>
    <n v="25"/>
    <n v="4"/>
    <s v="Apparel"/>
    <d v="2022-01-05T00:00:00"/>
    <x v="0"/>
    <s v="standard Value"/>
    <b v="1"/>
  </r>
  <r>
    <d v="2022-03-01T00:00:00"/>
    <n v="300"/>
    <n v="1"/>
    <n v="42"/>
    <n v="7"/>
    <s v="Electronics"/>
    <d v="2021-12-20T00:00:00"/>
    <x v="1"/>
    <s v="High Value"/>
    <b v="0"/>
  </r>
  <r>
    <d v="2022-03-05T00:00:00"/>
    <n v="45"/>
    <n v="1"/>
    <n v="28"/>
    <n v="5"/>
    <s v="Electronics"/>
    <d v="2021-12-01T00:00:00"/>
    <x v="0"/>
    <s v="standard Value"/>
    <b v="1"/>
  </r>
  <r>
    <d v="2022-04-15T00:00:00"/>
    <n v="80"/>
    <n v="1"/>
    <n v="38"/>
    <n v="2"/>
    <s v="Footwear"/>
    <d v="2022-01-08T00:00:00"/>
    <x v="0"/>
    <s v="standard Value"/>
    <b v="1"/>
  </r>
  <r>
    <d v="2022-05-20T00:00:00"/>
    <n v="10"/>
    <n v="3"/>
    <n v="30"/>
    <n v="2"/>
    <s v="Apparel"/>
    <d v="2022-01-01T00:00:00"/>
    <x v="1"/>
    <s v="standard Value"/>
    <b v="0"/>
  </r>
  <r>
    <d v="2022-06-01T00:00:00"/>
    <n v="250"/>
    <n v="1"/>
    <n v="31"/>
    <n v="6"/>
    <s v="Electronics"/>
    <d v="2022-01-10T00:00:00"/>
    <x v="0"/>
    <s v="High Value"/>
    <b v="1"/>
  </r>
  <r>
    <d v="2022-07-05T00:00:00"/>
    <n v="120"/>
    <n v="1"/>
    <n v="25"/>
    <n v="4"/>
    <s v="Apparel"/>
    <d v="2022-01-05T00:00:00"/>
    <x v="0"/>
    <s v="standard Value"/>
    <b v="1"/>
  </r>
  <r>
    <d v="2022-08-10T00:00:00"/>
    <n v="70"/>
    <n v="1"/>
    <n v="45"/>
    <n v="3"/>
    <s v="Home Goods"/>
    <d v="2022-01-12T00:00:00"/>
    <x v="0"/>
    <s v="standard Value"/>
    <b v="1"/>
  </r>
  <r>
    <d v="2022-09-15T00:00:00"/>
    <n v="90"/>
    <n v="1"/>
    <n v="29"/>
    <n v="2"/>
    <s v="Home Goods"/>
    <d v="2022-01-15T00:00:00"/>
    <x v="1"/>
    <s v="standard Value"/>
    <b v="0"/>
  </r>
  <r>
    <d v="2022-10-20T00:00:00"/>
    <n v="80"/>
    <n v="1"/>
    <n v="28"/>
    <n v="5"/>
    <s v="Electronics"/>
    <d v="2021-12-01T00:00:00"/>
    <x v="0"/>
    <s v="standard Value"/>
    <b v="1"/>
  </r>
  <r>
    <d v="2022-11-01T00:00:00"/>
    <n v="35"/>
    <n v="1"/>
    <n v="33"/>
    <n v="4"/>
    <s v="Home Goods"/>
    <d v="2022-01-18T00:00:00"/>
    <x v="0"/>
    <s v="standard Value"/>
    <b v="1"/>
  </r>
  <r>
    <d v="2022-12-05T00:00:00"/>
    <n v="50"/>
    <n v="1"/>
    <n v="35"/>
    <n v="3"/>
    <s v="Apparel"/>
    <d v="2021-11-10T00:00:00"/>
    <x v="0"/>
    <s v="standard Value"/>
    <b v="1"/>
  </r>
  <r>
    <d v="2023-01-05T00:00:00"/>
    <n v="400"/>
    <n v="1"/>
    <n v="42"/>
    <n v="7"/>
    <s v="Electronics"/>
    <d v="2021-12-20T00:00:00"/>
    <x v="0"/>
    <s v="High Value"/>
    <b v="1"/>
  </r>
  <r>
    <d v="2023-01-23T00:00:00"/>
    <n v="95"/>
    <n v="1"/>
    <n v="38"/>
    <n v="2"/>
    <s v="Footwear"/>
    <d v="2022-01-08T00:00:00"/>
    <x v="1"/>
    <s v="standard Value"/>
    <b v="0"/>
  </r>
  <r>
    <d v="2023-02-10T00:00:00"/>
    <n v="800"/>
    <n v="1"/>
    <n v="28"/>
    <n v="5"/>
    <s v="Electronics"/>
    <d v="2021-12-01T00:00:00"/>
    <x v="0"/>
    <s v="High Value"/>
    <b v="1"/>
  </r>
  <r>
    <d v="2023-03-15T00:00:00"/>
    <n v="120"/>
    <n v="1"/>
    <n v="31"/>
    <n v="6"/>
    <s v="Electronics"/>
    <d v="2022-01-10T00:00:00"/>
    <x v="0"/>
    <s v="standard Value"/>
    <b v="1"/>
  </r>
  <r>
    <d v="2023-04-20T00:00:00"/>
    <n v="70"/>
    <n v="1"/>
    <n v="25"/>
    <n v="4"/>
    <s v="Apparel"/>
    <d v="2022-01-05T00:00:00"/>
    <x v="0"/>
    <s v="standard Value"/>
    <b v="1"/>
  </r>
  <r>
    <d v="2023-05-01T00:00:00"/>
    <n v="100"/>
    <n v="1"/>
    <n v="45"/>
    <n v="3"/>
    <s v="Home Goods"/>
    <d v="2022-01-12T00:00:00"/>
    <x v="0"/>
    <s v="standard Value"/>
    <b v="1"/>
  </r>
  <r>
    <d v="2023-06-05T00:00:00"/>
    <n v="40"/>
    <n v="2"/>
    <n v="29"/>
    <n v="2"/>
    <s v="Apparel"/>
    <d v="2022-01-15T00:00:00"/>
    <x v="1"/>
    <s v="standard Value"/>
    <b v="0"/>
  </r>
  <r>
    <d v="2023-07-10T00:00:00"/>
    <n v="90"/>
    <n v="1"/>
    <n v="33"/>
    <n v="4"/>
    <s v="Electronics"/>
    <d v="2022-01-18T00:00:00"/>
    <x v="0"/>
    <s v="standard Value"/>
    <b v="1"/>
  </r>
  <r>
    <d v="2023-08-15T00:00:00"/>
    <n v="180"/>
    <n v="1"/>
    <n v="28"/>
    <n v="5"/>
    <s v="Electronics"/>
    <d v="2021-12-01T00:00:00"/>
    <x v="0"/>
    <s v="High Value"/>
    <b v="1"/>
  </r>
  <r>
    <d v="2023-09-20T00:00:00"/>
    <n v="150"/>
    <n v="1"/>
    <n v="35"/>
    <n v="3"/>
    <s v="Apparel"/>
    <d v="2021-11-10T00:00:00"/>
    <x v="0"/>
    <s v="standard Value"/>
    <b v="1"/>
  </r>
  <r>
    <d v="2023-10-25T00:00:00"/>
    <n v="350"/>
    <n v="1"/>
    <n v="42"/>
    <n v="7"/>
    <s v="Home Goods"/>
    <d v="2021-12-20T00:00:00"/>
    <x v="0"/>
    <s v="High Value"/>
    <b v="1"/>
  </r>
  <r>
    <d v="2023-11-01T00:00:00"/>
    <n v="110"/>
    <n v="1"/>
    <n v="30"/>
    <n v="2"/>
    <s v="Footwear"/>
    <d v="2022-01-01T00:00:00"/>
    <x v="1"/>
    <s v="standard Value"/>
    <b v="0"/>
  </r>
  <r>
    <d v="2023-12-05T00:00:00"/>
    <n v="50"/>
    <n v="3"/>
    <n v="25"/>
    <n v="4"/>
    <s v="Home Goods"/>
    <d v="2022-01-05T00:00:00"/>
    <x v="0"/>
    <s v="standard Value"/>
    <b v="1"/>
  </r>
  <r>
    <d v="2024-01-05T00:00:00"/>
    <n v="1300"/>
    <n v="1"/>
    <n v="38"/>
    <n v="2"/>
    <s v="Electronics"/>
    <d v="2022-01-08T00:00:00"/>
    <x v="0"/>
    <s v="High Value"/>
    <b v="1"/>
  </r>
  <r>
    <d v="2024-01-10T00:00:00"/>
    <n v="180"/>
    <n v="1"/>
    <n v="31"/>
    <n v="6"/>
    <s v="Electronics"/>
    <d v="2022-01-10T00:00:00"/>
    <x v="0"/>
    <s v="High Value"/>
    <b v="1"/>
  </r>
  <r>
    <d v="2024-02-15T00:00:00"/>
    <n v="150"/>
    <n v="1"/>
    <n v="45"/>
    <n v="3"/>
    <s v="Home Goods"/>
    <d v="2022-01-12T00:00:00"/>
    <x v="0"/>
    <s v="standard Value"/>
    <b v="1"/>
  </r>
  <r>
    <d v="2024-03-20T00:00:00"/>
    <n v="130"/>
    <n v="1"/>
    <n v="29"/>
    <n v="2"/>
    <s v="Apparel"/>
    <d v="2022-01-15T00:00:00"/>
    <x v="1"/>
    <s v="standard Value"/>
    <b v="0"/>
  </r>
  <r>
    <d v="2024-04-25T00:00:00"/>
    <n v="70"/>
    <n v="1"/>
    <n v="33"/>
    <n v="4"/>
    <s v="Electronics"/>
    <d v="2022-01-18T00:00:00"/>
    <x v="0"/>
    <s v="standard Value"/>
    <b v="1"/>
  </r>
  <r>
    <d v="2024-05-01T00:00:00"/>
    <n v="100"/>
    <n v="1"/>
    <n v="28"/>
    <n v="5"/>
    <s v="Electronics"/>
    <d v="2021-12-01T00:00:00"/>
    <x v="0"/>
    <s v="standard Value"/>
    <b v="1"/>
  </r>
  <r>
    <d v="2024-06-10T00:00:00"/>
    <n v="200"/>
    <n v="1"/>
    <n v="35"/>
    <n v="3"/>
    <s v="Outdoor"/>
    <d v="2021-11-10T00:00:00"/>
    <x v="1"/>
    <s v="High Value"/>
    <b v="0"/>
  </r>
  <r>
    <d v="2024-07-15T00:00:00"/>
    <n v="60"/>
    <n v="1"/>
    <n v="42"/>
    <n v="7"/>
    <s v="Home Goods"/>
    <d v="2021-12-20T00:00:00"/>
    <x v="0"/>
    <s v="standard Value"/>
    <b v="1"/>
  </r>
  <r>
    <d v="2024-08-20T00:00:00"/>
    <n v="80"/>
    <n v="1"/>
    <n v="30"/>
    <n v="2"/>
    <s v="Apparel"/>
    <d v="2022-01-01T00:00:00"/>
    <x v="0"/>
    <s v="standard Value"/>
    <b v="1"/>
  </r>
  <r>
    <d v="2024-09-25T00:00:00"/>
    <n v="20"/>
    <n v="2"/>
    <n v="25"/>
    <n v="4"/>
    <s v="Apparel"/>
    <d v="2022-01-05T00:00:00"/>
    <x v="0"/>
    <s v="standard Value"/>
    <b v="1"/>
  </r>
  <r>
    <d v="2024-10-30T00:00:00"/>
    <n v="450"/>
    <n v="1"/>
    <n v="38"/>
    <n v="2"/>
    <s v="Electronics"/>
    <d v="2022-01-08T00:00:00"/>
    <x v="0"/>
    <s v="High Value"/>
    <b v="1"/>
  </r>
  <r>
    <d v="2024-11-05T00:00:00"/>
    <n v="25"/>
    <n v="4"/>
    <n v="31"/>
    <n v="6"/>
    <s v="Home Goods"/>
    <d v="2022-01-10T00:00:00"/>
    <x v="0"/>
    <s v="standard Value"/>
    <b v="1"/>
  </r>
  <r>
    <d v="2024-12-10T00:00:00"/>
    <n v="30"/>
    <n v="2"/>
    <n v="45"/>
    <n v="3"/>
    <s v="Apparel"/>
    <d v="2022-01-12T00:00:00"/>
    <x v="1"/>
    <s v="standard Value"/>
    <b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x v="0"/>
    <x v="0"/>
    <x v="0"/>
  </r>
  <r>
    <x v="1"/>
    <x v="0"/>
    <x v="1"/>
  </r>
  <r>
    <x v="2"/>
    <x v="0"/>
    <x v="2"/>
  </r>
  <r>
    <x v="0"/>
    <x v="1"/>
    <x v="3"/>
  </r>
  <r>
    <x v="3"/>
    <x v="1"/>
    <x v="4"/>
  </r>
  <r>
    <x v="1"/>
    <x v="2"/>
    <x v="5"/>
  </r>
  <r>
    <x v="2"/>
    <x v="2"/>
    <x v="6"/>
  </r>
  <r>
    <x v="0"/>
    <x v="3"/>
    <x v="7"/>
  </r>
  <r>
    <x v="1"/>
    <x v="4"/>
    <x v="1"/>
  </r>
  <r>
    <x v="3"/>
    <x v="5"/>
    <x v="8"/>
  </r>
  <r>
    <x v="2"/>
    <x v="6"/>
    <x v="9"/>
  </r>
  <r>
    <x v="0"/>
    <x v="7"/>
    <x v="10"/>
  </r>
  <r>
    <x v="1"/>
    <x v="8"/>
    <x v="11"/>
  </r>
  <r>
    <x v="2"/>
    <x v="9"/>
    <x v="12"/>
  </r>
  <r>
    <x v="3"/>
    <x v="10"/>
    <x v="13"/>
  </r>
  <r>
    <x v="0"/>
    <x v="11"/>
    <x v="14"/>
  </r>
  <r>
    <x v="1"/>
    <x v="0"/>
    <x v="15"/>
  </r>
  <r>
    <x v="2"/>
    <x v="0"/>
    <x v="5"/>
  </r>
  <r>
    <x v="0"/>
    <x v="1"/>
    <x v="16"/>
  </r>
  <r>
    <x v="3"/>
    <x v="2"/>
    <x v="2"/>
  </r>
  <r>
    <x v="1"/>
    <x v="3"/>
    <x v="17"/>
  </r>
  <r>
    <x v="2"/>
    <x v="4"/>
    <x v="8"/>
  </r>
  <r>
    <x v="0"/>
    <x v="5"/>
    <x v="18"/>
  </r>
  <r>
    <x v="1"/>
    <x v="6"/>
    <x v="2"/>
  </r>
  <r>
    <x v="2"/>
    <x v="7"/>
    <x v="5"/>
  </r>
  <r>
    <x v="3"/>
    <x v="8"/>
    <x v="4"/>
  </r>
  <r>
    <x v="0"/>
    <x v="9"/>
    <x v="6"/>
  </r>
  <r>
    <x v="1"/>
    <x v="10"/>
    <x v="7"/>
  </r>
  <r>
    <x v="2"/>
    <x v="11"/>
    <x v="19"/>
  </r>
  <r>
    <x v="3"/>
    <x v="0"/>
    <x v="20"/>
  </r>
  <r>
    <x v="0"/>
    <x v="0"/>
    <x v="5"/>
  </r>
  <r>
    <x v="1"/>
    <x v="1"/>
    <x v="21"/>
  </r>
  <r>
    <x v="2"/>
    <x v="2"/>
    <x v="20"/>
  </r>
  <r>
    <x v="0"/>
    <x v="3"/>
    <x v="6"/>
  </r>
  <r>
    <x v="1"/>
    <x v="4"/>
    <x v="10"/>
  </r>
  <r>
    <x v="2"/>
    <x v="5"/>
    <x v="5"/>
  </r>
  <r>
    <x v="3"/>
    <x v="6"/>
    <x v="4"/>
  </r>
  <r>
    <x v="0"/>
    <x v="7"/>
    <x v="10"/>
  </r>
  <r>
    <x v="1"/>
    <x v="8"/>
    <x v="22"/>
  </r>
  <r>
    <x v="2"/>
    <x v="9"/>
    <x v="8"/>
  </r>
  <r>
    <x v="3"/>
    <x v="10"/>
    <x v="15"/>
  </r>
  <r>
    <x v="0"/>
    <x v="11"/>
    <x v="23"/>
  </r>
  <r>
    <x v="1"/>
    <x v="12"/>
    <x v="1"/>
  </r>
  <r>
    <x v="2"/>
    <x v="1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C1CA7C-C724-42C3-88EC-D0675993598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ountry">
  <location ref="J30:L35" firstHeaderRow="0"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showAll="0"/>
    <pivotField dataField="1" showAll="0"/>
    <pivotField showAll="0"/>
    <pivotField dataField="1" showAll="0"/>
    <pivotField showAll="0"/>
    <pivotField axis="axisRow" showAll="0">
      <items count="5">
        <item x="3"/>
        <item x="1"/>
        <item x="2"/>
        <item x="0"/>
        <item t="default"/>
      </items>
    </pivotField>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pivotField showAll="0" defaultSubtotal="0"/>
    <pivotField showAll="0" defaultSubtotal="0">
      <items count="5">
        <item x="0"/>
        <item x="1"/>
        <item x="2"/>
        <item x="3"/>
        <item x="4"/>
      </items>
    </pivotField>
  </pivotFields>
  <rowFields count="1">
    <field x="12"/>
  </rowFields>
  <rowItems count="5">
    <i>
      <x/>
    </i>
    <i>
      <x v="1"/>
    </i>
    <i>
      <x v="2"/>
    </i>
    <i>
      <x v="3"/>
    </i>
    <i t="grand">
      <x/>
    </i>
  </rowItems>
  <colFields count="1">
    <field x="-2"/>
  </colFields>
  <colItems count="2">
    <i>
      <x/>
    </i>
    <i i="1">
      <x v="1"/>
    </i>
  </colItems>
  <dataFields count="2">
    <dataField name="Sum of Sales" fld="8" baseField="0" baseItem="0"/>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4BE274-E46A-4BE5-88D2-A30BD963C25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3:O19" firstHeaderRow="1" firstDataRow="3" firstDataCol="1"/>
  <pivotFields count="28">
    <pivotField showAll="0"/>
    <pivotField axis="axisRow"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axis="axisCol" showAll="0">
      <items count="6">
        <item x="1"/>
        <item x="0"/>
        <item x="2"/>
        <item x="3"/>
        <item x="4"/>
        <item t="default"/>
      </items>
    </pivotField>
    <pivotField dataField="1" showAll="0"/>
    <pivotField showAll="0"/>
    <pivotField dataField="1" showAll="0"/>
    <pivotField showAll="0"/>
    <pivotField showAll="0">
      <items count="5">
        <item x="3"/>
        <item x="1"/>
        <item x="2"/>
        <item x="0"/>
        <item t="default"/>
      </items>
    </pivotField>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3">
    <field x="27"/>
    <field x="26"/>
    <field x="1"/>
  </rowFields>
  <rowItems count="4">
    <i>
      <x v="1"/>
    </i>
    <i>
      <x v="2"/>
    </i>
    <i>
      <x v="3"/>
    </i>
    <i t="grand">
      <x/>
    </i>
  </rowItems>
  <colFields count="2">
    <field x="7"/>
    <field x="-2"/>
  </colFields>
  <colItems count="12">
    <i>
      <x/>
      <x/>
    </i>
    <i r="1" i="1">
      <x v="1"/>
    </i>
    <i>
      <x v="1"/>
      <x/>
    </i>
    <i r="1" i="1">
      <x v="1"/>
    </i>
    <i>
      <x v="2"/>
      <x/>
    </i>
    <i r="1" i="1">
      <x v="1"/>
    </i>
    <i>
      <x v="3"/>
      <x/>
    </i>
    <i r="1" i="1">
      <x v="1"/>
    </i>
    <i>
      <x v="4"/>
      <x/>
    </i>
    <i r="1" i="1">
      <x v="1"/>
    </i>
    <i t="grand">
      <x/>
    </i>
    <i t="grand" i="1">
      <x/>
    </i>
  </colItems>
  <dataFields count="2">
    <dataField name="Sum of Sales" fld="8" baseField="0" baseItem="0"/>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B1A887-3E1B-44ED-A9FA-3D3BB465363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G5" firstHeaderRow="0" firstDataRow="1" firstDataCol="0"/>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showAll="0"/>
    <pivotField dataField="1" showAll="0"/>
    <pivotField showAll="0"/>
    <pivotField dataField="1"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6">
    <i>
      <x/>
    </i>
    <i i="1">
      <x v="1"/>
    </i>
    <i i="2">
      <x v="2"/>
    </i>
    <i i="3">
      <x v="3"/>
    </i>
    <i i="4">
      <x v="4"/>
    </i>
    <i i="5">
      <x v="5"/>
    </i>
  </colItems>
  <dataFields count="6">
    <dataField name="Sum of Sales" fld="8" baseField="0" baseItem="0"/>
    <dataField name="Sum of Profit" fld="10" baseField="0" baseItem="0"/>
    <dataField name="Average of Sales2" fld="8" subtotal="average" baseField="0" baseItem="1"/>
    <dataField name="Average of Profit2" fld="10" subtotal="average" baseField="0" baseItem="1"/>
    <dataField name="Max of Sales2" fld="8" subtotal="max" baseField="0" baseItem="1"/>
    <dataField name="Min of Profit2" fld="10" subtotal="min" baseField="0" baseItem="1"/>
  </dataFields>
  <formats count="7">
    <format dxfId="81">
      <pivotArea outline="0" collapsedLevelsAreSubtotals="1" fieldPosition="0">
        <references count="1">
          <reference field="4294967294" count="1" selected="0">
            <x v="0"/>
          </reference>
        </references>
      </pivotArea>
    </format>
    <format dxfId="80">
      <pivotArea outline="0" collapsedLevelsAreSubtotals="1" fieldPosition="0">
        <references count="1">
          <reference field="4294967294" count="1" selected="0">
            <x v="1"/>
          </reference>
        </references>
      </pivotArea>
    </format>
    <format dxfId="79">
      <pivotArea outline="0" collapsedLevelsAreSubtotals="1" fieldPosition="0">
        <references count="1">
          <reference field="4294967294" count="1" selected="0">
            <x v="2"/>
          </reference>
        </references>
      </pivotArea>
    </format>
    <format dxfId="78">
      <pivotArea outline="0" collapsedLevelsAreSubtotals="1" fieldPosition="0">
        <references count="1">
          <reference field="4294967294" count="1" selected="0">
            <x v="3"/>
          </reference>
        </references>
      </pivotArea>
    </format>
    <format dxfId="77">
      <pivotArea outline="0" collapsedLevelsAreSubtotals="1" fieldPosition="0">
        <references count="1">
          <reference field="4294967294" count="1" selected="0">
            <x v="4"/>
          </reference>
        </references>
      </pivotArea>
    </format>
    <format dxfId="76">
      <pivotArea outline="0" collapsedLevelsAreSubtotals="1" fieldPosition="0">
        <references count="1">
          <reference field="4294967294" count="1" selected="0">
            <x v="5"/>
          </reference>
        </references>
      </pivotArea>
    </format>
    <format dxfId="75">
      <pivotArea dataOnly="0"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083719-70CE-48DB-B8AD-04C48A2A5F6B}"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5:D54" firstHeaderRow="0" firstDataRow="1" firstDataCol="1" rowPageCount="1" colPageCount="1"/>
  <pivotFields count="28">
    <pivotField showAl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 numFmtId="14" multipleItemSelectionAllowed="1"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axis="axisRow" showAll="0" measureFilter="1" sortType="descending">
      <items count="11">
        <item x="0"/>
        <item x="1"/>
        <item x="2"/>
        <item x="3"/>
        <item x="4"/>
        <item x="5"/>
        <item x="6"/>
        <item x="7"/>
        <item x="8"/>
        <item x="9"/>
        <item t="default"/>
      </items>
      <autoSortScope>
        <pivotArea dataOnly="0" outline="0" fieldPosition="0">
          <references count="1">
            <reference field="4294967294" count="1" selected="0">
              <x v="1"/>
            </reference>
          </references>
        </pivotArea>
      </autoSortScope>
    </pivotField>
    <pivotField showAll="0"/>
    <pivotField showAll="0"/>
    <pivotField axis="axisRow" showAll="0" measureFilter="1">
      <items count="45">
        <item x="23"/>
        <item x="40"/>
        <item x="39"/>
        <item x="14"/>
        <item x="29"/>
        <item x="37"/>
        <item x="30"/>
        <item x="13"/>
        <item x="16"/>
        <item x="6"/>
        <item x="36"/>
        <item x="15"/>
        <item x="21"/>
        <item x="26"/>
        <item x="41"/>
        <item x="2"/>
        <item x="12"/>
        <item x="4"/>
        <item x="5"/>
        <item x="0"/>
        <item x="7"/>
        <item x="3"/>
        <item x="31"/>
        <item x="35"/>
        <item x="28"/>
        <item x="19"/>
        <item x="24"/>
        <item x="42"/>
        <item x="38"/>
        <item x="25"/>
        <item x="33"/>
        <item x="20"/>
        <item x="11"/>
        <item x="9"/>
        <item x="10"/>
        <item x="34"/>
        <item x="22"/>
        <item x="17"/>
        <item x="18"/>
        <item x="1"/>
        <item x="8"/>
        <item x="27"/>
        <item x="43"/>
        <item x="32"/>
        <item t="default"/>
      </items>
    </pivotField>
    <pivotField showAll="0"/>
    <pivotField dataField="1" showAll="0"/>
    <pivotField showAll="0"/>
    <pivotField dataField="1"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Page" multipleItemSelectionAllowed="1" showAll="0" defaultSubtotal="0">
      <items count="5">
        <item sd="0" x="0"/>
        <item sd="0" x="1"/>
        <item sd="0" x="2"/>
        <item sd="0" x="3"/>
        <item sd="0" x="4"/>
      </items>
    </pivotField>
  </pivotFields>
  <rowFields count="2">
    <field x="3"/>
    <field x="6"/>
  </rowFields>
  <rowItems count="29">
    <i>
      <x/>
    </i>
    <i r="1">
      <x v="10"/>
    </i>
    <i r="1">
      <x v="11"/>
    </i>
    <i r="1">
      <x v="13"/>
    </i>
    <i r="1">
      <x v="19"/>
    </i>
    <i r="1">
      <x v="31"/>
    </i>
    <i>
      <x v="5"/>
    </i>
    <i r="1">
      <x v="14"/>
    </i>
    <i r="1">
      <x v="22"/>
    </i>
    <i r="1">
      <x v="25"/>
    </i>
    <i r="1">
      <x v="33"/>
    </i>
    <i>
      <x v="2"/>
    </i>
    <i r="1">
      <x v="15"/>
    </i>
    <i r="1">
      <x v="20"/>
    </i>
    <i r="1">
      <x v="24"/>
    </i>
    <i r="1">
      <x v="28"/>
    </i>
    <i r="1">
      <x v="38"/>
    </i>
    <i>
      <x v="1"/>
    </i>
    <i r="1">
      <x v="5"/>
    </i>
    <i r="1">
      <x v="18"/>
    </i>
    <i r="1">
      <x v="37"/>
    </i>
    <i r="1">
      <x v="39"/>
    </i>
    <i r="1">
      <x v="41"/>
    </i>
    <i>
      <x v="6"/>
    </i>
    <i r="1">
      <x v="12"/>
    </i>
    <i r="1">
      <x v="27"/>
    </i>
    <i r="1">
      <x v="32"/>
    </i>
    <i r="1">
      <x v="43"/>
    </i>
    <i t="grand">
      <x/>
    </i>
  </rowItems>
  <colFields count="1">
    <field x="-2"/>
  </colFields>
  <colItems count="2">
    <i>
      <x/>
    </i>
    <i i="1">
      <x v="1"/>
    </i>
  </colItems>
  <pageFields count="1">
    <pageField fld="27" hier="-1"/>
  </pageFields>
  <dataFields count="2">
    <dataField name="Sum of Sales" fld="8" baseField="0" baseItem="0"/>
    <dataField name="Sum of Profit" fld="10" baseField="0" baseItem="0"/>
  </dataFields>
  <pivotTableStyleInfo name="PivotStyleLight16" showRowHeaders="1" showColHeaders="1" showRowStripes="0" showColStripes="0" showLastColumn="1"/>
  <filters count="2">
    <filter fld="3" type="count" evalOrder="-1" id="4" iMeasureFld="0">
      <autoFilter ref="A1">
        <filterColumn colId="0">
          <top10 val="5" filterVal="5"/>
        </filterColumn>
      </autoFilter>
    </filter>
    <filter fld="6"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18F9BF-6A55-4CC4-B403-43535EC8312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ask-04">
  <location ref="U11:V18" firstHeaderRow="1" firstDataRow="1" firstDataCol="1"/>
  <pivotFields count="11">
    <pivotField dataField="1" showAll="0"/>
    <pivotField numFmtId="14" showAll="0"/>
    <pivotField showAll="0"/>
    <pivotField showAll="0"/>
    <pivotField showAll="0"/>
    <pivotField showAll="0"/>
    <pivotField showAll="0"/>
    <pivotField numFmtId="14" showAll="0"/>
    <pivotField axis="axisRow" showAll="0">
      <items count="3">
        <item x="1"/>
        <item x="0"/>
        <item t="default"/>
      </items>
    </pivotField>
    <pivotField axis="axisRow" showAll="0">
      <items count="3">
        <item x="0"/>
        <item x="1"/>
        <item t="default"/>
      </items>
    </pivotField>
    <pivotField showAll="0"/>
  </pivotFields>
  <rowFields count="2">
    <field x="9"/>
    <field x="8"/>
  </rowFields>
  <rowItems count="7">
    <i>
      <x/>
    </i>
    <i r="1">
      <x/>
    </i>
    <i r="1">
      <x v="1"/>
    </i>
    <i>
      <x v="1"/>
    </i>
    <i r="1">
      <x/>
    </i>
    <i r="1">
      <x v="1"/>
    </i>
    <i t="grand">
      <x/>
    </i>
  </rowItems>
  <colItems count="1">
    <i/>
  </colItems>
  <dataFields count="1">
    <dataField name="Count of Customers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1F7401-6EF7-4627-98E6-BF3ADB6A5528}"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ask-05">
  <location ref="X11:Y14" firstHeaderRow="1" firstDataRow="1" firstDataCol="1"/>
  <pivotFields count="10">
    <pivotField numFmtId="14" showAll="0"/>
    <pivotField showAll="0"/>
    <pivotField dataField="1" showAll="0"/>
    <pivotField showAll="0"/>
    <pivotField showAll="0"/>
    <pivotField showAll="0"/>
    <pivotField numFmtId="14" showAll="0"/>
    <pivotField axis="axisRow" showAll="0">
      <items count="3">
        <item x="1"/>
        <item x="0"/>
        <item t="default"/>
      </items>
    </pivotField>
    <pivotField showAll="0"/>
    <pivotField showAll="0"/>
  </pivotFields>
  <rowFields count="1">
    <field x="7"/>
  </rowFields>
  <rowItems count="3">
    <i>
      <x/>
    </i>
    <i>
      <x v="1"/>
    </i>
    <i t="grand">
      <x/>
    </i>
  </rowItems>
  <colItems count="1">
    <i/>
  </colItems>
  <dataFields count="1">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FD7B87-4CEF-4B50-B2CF-AA92A05543D0}"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G32:H41" firstHeaderRow="1" firstDataRow="1" firstDataCol="1"/>
  <pivotFields count="3">
    <pivotField showAll="0">
      <items count="5">
        <item x="3"/>
        <item x="1"/>
        <item x="2"/>
        <item x="0"/>
        <item t="default"/>
      </items>
    </pivotField>
    <pivotField showAll="0"/>
    <pivotField axis="axisRow" dataField="1" showAll="0">
      <items count="21">
        <item x="0"/>
        <item x="1"/>
        <item x="2"/>
        <item x="3"/>
        <item x="4"/>
        <item x="5"/>
        <item x="6"/>
        <item x="7"/>
        <item x="8"/>
        <item x="9"/>
        <item x="10"/>
        <item x="11"/>
        <item x="12"/>
        <item x="13"/>
        <item x="14"/>
        <item x="15"/>
        <item x="16"/>
        <item x="17"/>
        <item x="18"/>
        <item x="19"/>
        <item t="default"/>
      </items>
    </pivotField>
  </pivotFields>
  <rowFields count="1">
    <field x="2"/>
  </rowFields>
  <rowItems count="9">
    <i>
      <x v="1"/>
    </i>
    <i>
      <x v="2"/>
    </i>
    <i>
      <x v="3"/>
    </i>
    <i>
      <x v="4"/>
    </i>
    <i>
      <x v="5"/>
    </i>
    <i>
      <x v="8"/>
    </i>
    <i>
      <x v="12"/>
    </i>
    <i>
      <x v="13"/>
    </i>
    <i t="grand">
      <x/>
    </i>
  </rowItems>
  <colItems count="1">
    <i/>
  </colItems>
  <dataFields count="1">
    <dataField name="Count of Profit" fld="2" subtotal="count" showDataAs="percentOfTotal" baseField="0" baseItem="0" numFmtId="1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827E7FE-AD7A-4ACD-9029-093BF6B279AA}" name="PivotTable1" cacheId="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20:Z28" firstHeaderRow="1" firstDataRow="2" firstDataCol="1"/>
  <pivotFields count="3">
    <pivotField showAll="0">
      <items count="5">
        <item x="3"/>
        <item x="1"/>
        <item x="2"/>
        <item x="0"/>
        <item t="default"/>
      </items>
    </pivotField>
    <pivotField axis="axisCol" showAll="0">
      <items count="14">
        <item x="0"/>
        <item x="1"/>
        <item x="2"/>
        <item x="3"/>
        <item x="4"/>
        <item x="5"/>
        <item x="6"/>
        <item x="7"/>
        <item x="8"/>
        <item x="9"/>
        <item x="10"/>
        <item x="11"/>
        <item x="12"/>
        <item t="default"/>
      </items>
    </pivotField>
    <pivotField dataField="1" showAll="0">
      <items count="21">
        <item x="0"/>
        <item x="1"/>
        <item x="2"/>
        <item x="3"/>
        <item x="4"/>
        <item x="5"/>
        <item x="6"/>
        <item x="7"/>
        <item x="8"/>
        <item x="9"/>
        <item x="10"/>
        <item x="11"/>
        <item x="12"/>
        <item x="13"/>
        <item x="14"/>
        <item x="15"/>
        <item x="16"/>
        <item x="17"/>
        <item x="18"/>
        <item x="19"/>
        <item t="default"/>
      </items>
    </pivotField>
  </pivotFields>
  <rowFields count="1">
    <field x="-2"/>
  </rowFields>
  <rowItems count="7">
    <i>
      <x/>
    </i>
    <i i="1">
      <x v="1"/>
    </i>
    <i i="2">
      <x v="2"/>
    </i>
    <i i="3">
      <x v="3"/>
    </i>
    <i i="4">
      <x v="4"/>
    </i>
    <i i="5">
      <x v="5"/>
    </i>
    <i i="6">
      <x v="6"/>
    </i>
  </rowItems>
  <colFields count="1">
    <field x="1"/>
  </colFields>
  <colItems count="14">
    <i>
      <x/>
    </i>
    <i>
      <x v="1"/>
    </i>
    <i>
      <x v="2"/>
    </i>
    <i>
      <x v="3"/>
    </i>
    <i>
      <x v="4"/>
    </i>
    <i>
      <x v="5"/>
    </i>
    <i>
      <x v="6"/>
    </i>
    <i>
      <x v="7"/>
    </i>
    <i>
      <x v="8"/>
    </i>
    <i>
      <x v="9"/>
    </i>
    <i>
      <x v="10"/>
    </i>
    <i>
      <x v="11"/>
    </i>
    <i>
      <x v="12"/>
    </i>
    <i t="grand">
      <x/>
    </i>
  </colItems>
  <dataFields count="7">
    <dataField name="Sum of Profit" fld="2" baseField="0" baseItem="0"/>
    <dataField name="Count of Profit" fld="2" subtotal="count" baseField="0" baseItem="0"/>
    <dataField name="Average of Profit" fld="2" subtotal="average" baseField="0" baseItem="0"/>
    <dataField name="Max of Profit" fld="2" subtotal="max" baseField="0" baseItem="0"/>
    <dataField name="Min of Profit" fld="2" subtotal="min" baseField="0" baseItem="0"/>
    <dataField name="StdDev of Profit" fld="2" subtotal="stdDev" baseField="0" baseItem="0"/>
    <dataField name="Var of Profit" fld="2" subtotal="var"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193E15-E761-445D-9A42-CF3AE9E51D0F}" name="PivotTable20"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location ref="BM5:BN44" firstHeaderRow="1"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s>
  <rowFields count="2">
    <field x="27"/>
    <field x="25"/>
  </rowFields>
  <rowItems count="3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rowItems>
  <colItems count="1">
    <i/>
  </colItems>
  <dataFields count="1">
    <dataField name="Sum of Profit" fld="10" baseField="0" baseItem="0"/>
  </dataFields>
  <formats count="5">
    <format dxfId="8">
      <pivotArea collapsedLevelsAreSubtotals="1" fieldPosition="0">
        <references count="2">
          <reference field="25" count="12">
            <x v="1"/>
            <x v="2"/>
            <x v="3"/>
            <x v="4"/>
            <x v="5"/>
            <x v="6"/>
            <x v="7"/>
            <x v="8"/>
            <x v="9"/>
            <x v="10"/>
            <x v="11"/>
            <x v="12"/>
          </reference>
          <reference field="27" count="1" selected="0">
            <x v="1"/>
          </reference>
        </references>
      </pivotArea>
    </format>
    <format dxfId="7">
      <pivotArea collapsedLevelsAreSubtotals="1" fieldPosition="0">
        <references count="1">
          <reference field="27" count="1">
            <x v="2"/>
          </reference>
        </references>
      </pivotArea>
    </format>
    <format dxfId="6">
      <pivotArea collapsedLevelsAreSubtotals="1" fieldPosition="0">
        <references count="2">
          <reference field="25" count="12">
            <x v="1"/>
            <x v="2"/>
            <x v="3"/>
            <x v="4"/>
            <x v="5"/>
            <x v="6"/>
            <x v="7"/>
            <x v="8"/>
            <x v="9"/>
            <x v="10"/>
            <x v="11"/>
            <x v="12"/>
          </reference>
          <reference field="27" count="1" selected="0">
            <x v="2"/>
          </reference>
        </references>
      </pivotArea>
    </format>
    <format dxfId="5">
      <pivotArea collapsedLevelsAreSubtotals="1" fieldPosition="0">
        <references count="1">
          <reference field="27" count="1">
            <x v="3"/>
          </reference>
        </references>
      </pivotArea>
    </format>
    <format dxfId="4">
      <pivotArea collapsedLevelsAreSubtotals="1" fieldPosition="0">
        <references count="2">
          <reference field="25" count="12">
            <x v="1"/>
            <x v="2"/>
            <x v="3"/>
            <x v="4"/>
            <x v="5"/>
            <x v="6"/>
            <x v="7"/>
            <x v="8"/>
            <x v="9"/>
            <x v="10"/>
            <x v="11"/>
            <x v="12"/>
          </reference>
          <reference field="27" count="1" selected="0">
            <x v="3"/>
          </reference>
        </references>
      </pivotArea>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284437C-5560-4C20-9CCE-BFEFF842E225}" name="PivotTable1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AO4:AP8" firstHeaderRow="1"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showAll="0"/>
    <pivotField dataField="1" showAll="0"/>
    <pivotField showAll="0"/>
    <pivotField showAll="0"/>
    <pivotField showAll="0"/>
    <pivotField axis="axisRow" showAll="0">
      <items count="5">
        <item x="3"/>
        <item x="1"/>
        <item x="2"/>
        <item x="0"/>
        <item t="default"/>
      </items>
    </pivotField>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12"/>
  </rowFields>
  <rowItems count="4">
    <i>
      <x/>
    </i>
    <i>
      <x v="1"/>
    </i>
    <i>
      <x v="2"/>
    </i>
    <i>
      <x v="3"/>
    </i>
  </rowItems>
  <colItems count="1">
    <i/>
  </colItems>
  <dataFields count="1">
    <dataField name="Sum of Sales" fld="8" showDataAs="percentOfTotal" baseField="0" baseItem="0" numFmtId="9"/>
  </dataFields>
  <formats count="1">
    <format dxfId="9">
      <pivotArea outline="0" collapsedLevelsAreSubtotals="1" fieldPosition="0"/>
    </format>
  </formats>
  <chartFormats count="10">
    <chartFormat chart="1" format="0" series="1">
      <pivotArea type="data" outline="0" fieldPosition="0">
        <references count="1">
          <reference field="4294967294" count="1" selected="0">
            <x v="0"/>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12" count="1" selected="0">
            <x v="0"/>
          </reference>
        </references>
      </pivotArea>
    </chartFormat>
    <chartFormat chart="9" format="18">
      <pivotArea type="data" outline="0" fieldPosition="0">
        <references count="2">
          <reference field="4294967294" count="1" selected="0">
            <x v="0"/>
          </reference>
          <reference field="12" count="1" selected="0">
            <x v="1"/>
          </reference>
        </references>
      </pivotArea>
    </chartFormat>
    <chartFormat chart="9" format="19">
      <pivotArea type="data" outline="0" fieldPosition="0">
        <references count="2">
          <reference field="4294967294" count="1" selected="0">
            <x v="0"/>
          </reference>
          <reference field="12" count="1" selected="0">
            <x v="2"/>
          </reference>
        </references>
      </pivotArea>
    </chartFormat>
    <chartFormat chart="9" format="20">
      <pivotArea type="data" outline="0" fieldPosition="0">
        <references count="2">
          <reference field="4294967294" count="1" selected="0">
            <x v="0"/>
          </reference>
          <reference field="12" count="1" selected="0">
            <x v="3"/>
          </reference>
        </references>
      </pivotArea>
    </chartFormat>
    <chartFormat chart="1" format="9">
      <pivotArea type="data" outline="0" fieldPosition="0">
        <references count="2">
          <reference field="4294967294" count="1" selected="0">
            <x v="0"/>
          </reference>
          <reference field="12" count="1" selected="0">
            <x v="1"/>
          </reference>
        </references>
      </pivotArea>
    </chartFormat>
    <chartFormat chart="1" format="10">
      <pivotArea type="data" outline="0" fieldPosition="0">
        <references count="2">
          <reference field="4294967294" count="1" selected="0">
            <x v="0"/>
          </reference>
          <reference field="12" count="1" selected="0">
            <x v="2"/>
          </reference>
        </references>
      </pivotArea>
    </chartFormat>
    <chartFormat chart="1" format="11">
      <pivotArea type="data" outline="0" fieldPosition="0">
        <references count="2">
          <reference field="4294967294" count="1" selected="0">
            <x v="0"/>
          </reference>
          <reference field="12" count="1" selected="0">
            <x v="0"/>
          </reference>
        </references>
      </pivotArea>
    </chartFormat>
    <chartFormat chart="1" format="12">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8670E57-219E-4A37-9A00-2CDB310744CD}"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location ref="V4:W14" firstHeaderRow="1"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axis="axisRow" showAll="0">
      <items count="11">
        <item x="0"/>
        <item x="1"/>
        <item x="2"/>
        <item x="3"/>
        <item x="4"/>
        <item x="5"/>
        <item x="6"/>
        <item x="7"/>
        <item x="8"/>
        <item x="9"/>
        <item t="default"/>
      </items>
    </pivotField>
    <pivotField showAll="0"/>
    <pivotField showAll="0"/>
    <pivotField showAll="0"/>
    <pivotField showAll="0"/>
    <pivotField showAll="0"/>
    <pivotField dataField="1" showAll="0"/>
    <pivotField showAll="0"/>
    <pivotField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2"/>
  </rowFields>
  <rowItems count="10">
    <i>
      <x/>
    </i>
    <i>
      <x v="1"/>
    </i>
    <i>
      <x v="2"/>
    </i>
    <i>
      <x v="3"/>
    </i>
    <i>
      <x v="4"/>
    </i>
    <i>
      <x v="5"/>
    </i>
    <i>
      <x v="6"/>
    </i>
    <i>
      <x v="7"/>
    </i>
    <i>
      <x v="8"/>
    </i>
    <i>
      <x v="9"/>
    </i>
  </rowItems>
  <colItems count="1">
    <i/>
  </colItems>
  <dataFields count="1">
    <dataField name="Sum of Sales" fld="8" baseField="0" baseItem="0"/>
  </dataFields>
  <formats count="1">
    <format dxfId="10">
      <pivotArea collapsedLevelsAreSubtotals="1" fieldPosition="0">
        <references count="1">
          <reference field="2" count="0"/>
        </references>
      </pivotArea>
    </format>
  </formats>
  <chartFormats count="2">
    <chartFormat chart="0" format="0"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CFB51F3-50F3-4C1D-A366-D08B45AF2D18}" name="PivotTable1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H4:J16" firstHeaderRow="0"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items count="11">
        <item x="0"/>
        <item x="1"/>
        <item x="2"/>
        <item x="3"/>
        <item x="4"/>
        <item x="5"/>
        <item x="6"/>
        <item x="7"/>
        <item x="8"/>
        <item x="9"/>
        <item t="default"/>
      </items>
    </pivotField>
    <pivotField showAll="0"/>
    <pivotField showAll="0"/>
    <pivotField showAll="0"/>
    <pivotField showAll="0"/>
    <pivotField dataField="1" showAll="0"/>
    <pivotField showAll="0"/>
    <pivotField dataField="1" showAll="0"/>
    <pivotField showAll="0">
      <items count="5">
        <item x="2"/>
        <item x="3"/>
        <item x="0"/>
        <item x="1"/>
        <item t="default"/>
      </items>
    </pivotField>
    <pivotField showAll="0">
      <items count="5">
        <item x="3"/>
        <item x="1"/>
        <item x="2"/>
        <item x="0"/>
        <item t="default"/>
      </items>
    </pivotField>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25"/>
  </rowFields>
  <rowItems count="12">
    <i>
      <x v="1"/>
    </i>
    <i>
      <x v="2"/>
    </i>
    <i>
      <x v="3"/>
    </i>
    <i>
      <x v="4"/>
    </i>
    <i>
      <x v="5"/>
    </i>
    <i>
      <x v="6"/>
    </i>
    <i>
      <x v="7"/>
    </i>
    <i>
      <x v="8"/>
    </i>
    <i>
      <x v="9"/>
    </i>
    <i>
      <x v="10"/>
    </i>
    <i>
      <x v="11"/>
    </i>
    <i>
      <x v="12"/>
    </i>
  </rowItems>
  <colFields count="1">
    <field x="-2"/>
  </colFields>
  <colItems count="2">
    <i>
      <x/>
    </i>
    <i i="1">
      <x v="1"/>
    </i>
  </colItems>
  <dataFields count="2">
    <dataField name="Sum of Sales" fld="8" baseField="0" baseItem="0"/>
    <dataField name="Sum of Profit" fld="1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02E1CAF-7F4C-4163-9758-2606530B1093}" name="PivotTable22"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gridDropZones="1" multipleFieldFilters="0">
  <location ref="CM4:CO17" firstHeaderRow="2" firstDataRow="2" firstDataCol="2"/>
  <pivotFields count="28">
    <pivotField compact="0" outline="0" showAll="0"/>
    <pivotField compact="0" numFmtId="14" outline="0"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5">
        <item x="1"/>
        <item x="0"/>
        <item x="2"/>
        <item x="3"/>
        <item x="4"/>
      </items>
      <extLst>
        <ext xmlns:x14="http://schemas.microsoft.com/office/spreadsheetml/2009/9/main" uri="{2946ED86-A175-432a-8AC1-64E0C546D7DE}">
          <x14:pivotField fillDownLabels="1"/>
        </ext>
      </extLst>
    </pivotField>
    <pivotField dataField="1"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Row" compact="0" outline="0" showAll="0" defaultSubtotal="0">
      <items count="5">
        <item x="0"/>
        <item x="1"/>
        <item x="2"/>
        <item x="3"/>
        <item x="4"/>
      </items>
    </pivotField>
  </pivotFields>
  <rowFields count="2">
    <field x="7"/>
    <field x="27"/>
  </rowFields>
  <rowItems count="12">
    <i>
      <x/>
      <x v="1"/>
    </i>
    <i r="1">
      <x v="2"/>
    </i>
    <i r="1">
      <x v="3"/>
    </i>
    <i>
      <x v="1"/>
      <x v="1"/>
    </i>
    <i r="1">
      <x v="2"/>
    </i>
    <i r="1">
      <x v="3"/>
    </i>
    <i>
      <x v="2"/>
      <x v="1"/>
    </i>
    <i r="1">
      <x v="2"/>
    </i>
    <i>
      <x v="3"/>
      <x v="1"/>
    </i>
    <i r="1">
      <x v="2"/>
    </i>
    <i r="1">
      <x v="3"/>
    </i>
    <i>
      <x v="4"/>
      <x v="3"/>
    </i>
  </rowItems>
  <colItems count="1">
    <i/>
  </colItems>
  <dataFields count="1">
    <dataField name="Sum of Sales" fld="8" baseField="0" baseItem="0" numFmtId="166"/>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CEE93D4-8E7A-4516-A988-E2E3D7E019C5}" name="PivotTable2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3">
  <location ref="BZ4:CA48" firstHeaderRow="1"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axis="axisRow" showAll="0">
      <items count="45">
        <item x="23"/>
        <item x="40"/>
        <item x="39"/>
        <item x="14"/>
        <item x="29"/>
        <item x="37"/>
        <item x="30"/>
        <item x="13"/>
        <item x="16"/>
        <item x="6"/>
        <item x="36"/>
        <item x="15"/>
        <item x="21"/>
        <item x="26"/>
        <item x="41"/>
        <item x="2"/>
        <item x="12"/>
        <item x="4"/>
        <item x="5"/>
        <item x="0"/>
        <item x="7"/>
        <item x="3"/>
        <item x="31"/>
        <item x="35"/>
        <item x="28"/>
        <item x="19"/>
        <item x="24"/>
        <item x="42"/>
        <item x="38"/>
        <item x="25"/>
        <item x="33"/>
        <item x="20"/>
        <item x="11"/>
        <item x="9"/>
        <item x="10"/>
        <item x="34"/>
        <item x="22"/>
        <item x="17"/>
        <item x="18"/>
        <item x="1"/>
        <item x="8"/>
        <item x="27"/>
        <item x="43"/>
        <item x="32"/>
        <item t="default"/>
      </items>
    </pivotField>
    <pivotField showAll="0"/>
    <pivotField dataField="1" showAll="0"/>
    <pivotField showAll="0"/>
    <pivotField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6"/>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Items count="1">
    <i/>
  </colItems>
  <dataFields count="1">
    <dataField name="Sum of Sales" fld="8" showDataAs="percentOfTotal" baseField="0" baseItem="0" numFmtId="10"/>
  </dataFields>
  <formats count="1">
    <format dxfId="12">
      <pivotArea collapsedLevelsAreSubtotals="1" fieldPosition="0">
        <references count="1">
          <reference field="6" count="0"/>
        </references>
      </pivotArea>
    </format>
  </formats>
  <chartFormats count="2">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0BF169E-E9E7-4B0E-B464-F7062881F873}"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D4:E9" firstHeaderRow="1" firstDataRow="1" firstDataCol="1"/>
  <pivotFields count="28">
    <pivotField showAll="0"/>
    <pivotField numFmtId="14"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showAll="0"/>
    <pivotField showAll="0"/>
    <pivotField showAll="0"/>
    <pivotField showAll="0"/>
    <pivotField axis="axisRow" showAll="0">
      <items count="6">
        <item x="1"/>
        <item x="0"/>
        <item x="2"/>
        <item x="3"/>
        <item x="4"/>
        <item t="default"/>
      </items>
    </pivotField>
    <pivotField dataField="1" showAll="0"/>
    <pivotField showAll="0"/>
    <pivotField showAll="0"/>
    <pivotField showAll="0"/>
    <pivotField showAll="0"/>
    <pivotField showAll="0"/>
    <pivotField numFmtId="14" showAll="0"/>
    <pivotField showAll="0"/>
    <pivotField numFmtId="14" showAll="0"/>
    <pivotField numFmtId="14" showAll="0"/>
    <pivotField showAll="0"/>
    <pivotField showAll="0"/>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5">
        <item x="0"/>
        <item x="1"/>
        <item x="2"/>
        <item x="3"/>
        <item x="4"/>
      </items>
    </pivotField>
  </pivotFields>
  <rowFields count="1">
    <field x="7"/>
  </rowFields>
  <rowItems count="5">
    <i>
      <x/>
    </i>
    <i>
      <x v="1"/>
    </i>
    <i>
      <x v="2"/>
    </i>
    <i>
      <x v="3"/>
    </i>
    <i>
      <x v="4"/>
    </i>
  </rowItems>
  <colItems count="1">
    <i/>
  </colItems>
  <dataFields count="1">
    <dataField name="Sum of Sales" fld="8" baseField="0" baseItem="0" numFmtId="165"/>
  </dataFields>
  <formats count="2">
    <format dxfId="14">
      <pivotArea collapsedLevelsAreSubtotals="1" fieldPosition="0">
        <references count="1">
          <reference field="7" count="1">
            <x v="0"/>
          </reference>
        </references>
      </pivotArea>
    </format>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B0B2E6F-C37D-4916-A31A-4DAB310E9029}" sourceName="Country">
  <pivotTables>
    <pivotTable tabId="3" name="PivotTable4"/>
  </pivotTables>
  <data>
    <tabular pivotCacheId="26204608">
      <items count="4">
        <i x="3" s="1"/>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DAA9949D-B807-4AB9-A37E-08F8750DE86C}" sourceName="Country">
  <pivotTables>
    <pivotTable tabId="7" name="PivotTable1"/>
  </pivotTables>
  <data>
    <tabular pivotCacheId="377605070">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2" xr10:uid="{68F5E502-D47A-4572-8E2B-9043302D5937}" sourceName="Country">
  <pivotTables>
    <pivotTable tabId="7" name="PivotTable3"/>
  </pivotTables>
  <data>
    <tabular pivotCacheId="377605070">
      <items count="4">
        <i x="3" s="1"/>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BB72870C-62F1-422A-A4BB-2AFB8BD78EAA}" sourceName="Months (Order Date)">
  <pivotTables>
    <pivotTable tabId="11" name="PivotTable16"/>
    <pivotTable tabId="11" name="PivotTable1"/>
    <pivotTable tabId="11" name="PivotTable13"/>
    <pivotTable tabId="11" name="PivotTable15"/>
    <pivotTable tabId="11" name="PivotTable20"/>
    <pivotTable tabId="11" name="PivotTable21"/>
    <pivotTable tabId="3" name="PivotTable1"/>
    <pivotTable tabId="3" name="PivotTable4"/>
    <pivotTable tabId="3" name="PivotTable9"/>
  </pivotTables>
  <data>
    <tabular pivotCacheId="26204608">
      <items count="14">
        <i x="1" s="1"/>
        <i x="2" s="1"/>
        <i x="3" s="1"/>
        <i x="4" s="1"/>
        <i x="5" s="1"/>
        <i x="6" s="1"/>
        <i x="7" s="1"/>
        <i x="8" s="1"/>
        <i x="9" s="1"/>
        <i x="10" s="1"/>
        <i x="11" s="1"/>
        <i x="12" s="1"/>
        <i x="0" s="1" nd="1"/>
        <i x="1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D14EA199-5BFE-4930-ADD2-446BA9F5D6CF}" sourceName="Years (Order Date)">
  <pivotTables>
    <pivotTable tabId="11" name="PivotTable16"/>
    <pivotTable tabId="11" name="PivotTable1"/>
    <pivotTable tabId="11" name="PivotTable13"/>
    <pivotTable tabId="11" name="PivotTable15"/>
    <pivotTable tabId="11" name="PivotTable20"/>
    <pivotTable tabId="11" name="PivotTable21"/>
    <pivotTable tabId="3" name="PivotTable1"/>
    <pivotTable tabId="3" name="PivotTable4"/>
    <pivotTable tabId="3" name="PivotTable9"/>
  </pivotTables>
  <data>
    <tabular pivotCacheId="26204608">
      <items count="5">
        <i x="1" s="1"/>
        <i x="2" s="1"/>
        <i x="3" s="1"/>
        <i x="0"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1" xr10:uid="{EDA3389D-DD39-46E6-A939-EC7F9E856797}" sourceName="Years (Order Date)">
  <extLst>
    <x:ext xmlns:x15="http://schemas.microsoft.com/office/spreadsheetml/2010/11/main" uri="{2F2917AC-EB37-4324-AD4E-5DD8C200BD13}">
      <x15:tableSlicerCache tableId="1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D67F972E-76F8-4DB9-BB97-499536893AC3}" cache="Slicer_Country" caption="Country" columnCoun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DCE76267-B99F-4D91-AD52-A8C2222A46C8}" cache="Slicer_Country1" caption="Country" rowHeight="241300"/>
  <slicer name="Country 2" xr10:uid="{90D4CA81-CD8B-40B8-BC63-94F07EF7D343}" cache="Slicer_Country2" caption="Count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47049D60-8E37-43FC-B9B6-5A3B22270949}" cache="Slicer_Months__Order_Date" caption="Months (Order Date)" style="DASHBOARD" rowHeight="241300"/>
  <slicer name="Years (Order Date)" xr10:uid="{073A4E5D-541E-4CAB-98F4-4C588ED6B7B2}" cache="Slicer_Years__Order_Date" caption="Years (Order Date)" columnCount="3" style="DASHBOARD"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2" xr10:uid="{05C86788-39C1-462C-A8FD-F6D89104DB1F}" cache="Slicer_Years__Order_Date1" caption="Years (Order Date)" columnCount="3" showCaption="0" style="DASHBOARD"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2" xr10:uid="{7E7FEF6D-F1A5-464C-859C-5806D3176059}" cache="Slicer_Months__Order_Date" caption="Months (Order Date)" style="DASHBOARD" rowHeight="241300"/>
  <slicer name="Years (Order Date) 4" xr10:uid="{FCA03E95-8C92-498B-955F-85F5888E4734}" cache="Slicer_Years__Order_Date" caption="Years (Order Date)" columnCount="3" style="DASHBOAR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CA672D-FB21-4069-A7F6-F3DA69CF746D}" name="Table1" displayName="Table1" ref="A1:Z45" totalsRowShown="0">
  <autoFilter ref="A1:Z45" xr:uid="{CDCA672D-FB21-4069-A7F6-F3DA69CF746D}"/>
  <tableColumns count="26">
    <tableColumn id="1" xr3:uid="{5D4D0E76-77FE-456D-9CED-5FD3750757AF}" name="Order ID"/>
    <tableColumn id="27" xr3:uid="{CC6A5660-51BC-4617-9CEC-62F2EEA232D5}" name="Month" dataDxfId="86">
      <calculatedColumnFormula>TEXT(Table1[[#This Row],[Order Date]],"mmm")</calculatedColumnFormula>
    </tableColumn>
    <tableColumn id="2" xr3:uid="{96D82D59-C3FB-4013-BE38-10DA1F906B18}" name="Order Date" dataDxfId="85"/>
    <tableColumn id="3" xr3:uid="{BC808FFE-5B99-44A5-80E3-E7B784AA0099}" name="Customer ID"/>
    <tableColumn id="4" xr3:uid="{68481861-5D94-42AD-9324-21FA07F2F093}" name="Customer Name"/>
    <tableColumn id="5" xr3:uid="{04B2731B-16F8-4E1F-A632-8A2D45C6FCE0}" name="Age"/>
    <tableColumn id="6" xr3:uid="{00E0F5EF-C657-4A2E-9844-931AA138DE78}" name="Gender"/>
    <tableColumn id="7" xr3:uid="{C4853F18-8B91-4D56-8F9C-E48307CDCAF3}" name="Product"/>
    <tableColumn id="8" xr3:uid="{982955E5-431E-4004-9113-182BE76C3173}" name="Category"/>
    <tableColumn id="9" xr3:uid="{E8328BFB-EC6F-4D6E-9202-8BFE48C0EC73}" name="Sales"/>
    <tableColumn id="10" xr3:uid="{47736D7F-42F9-4DA3-B1D6-1CC85BE17C82}" name="Quantity"/>
    <tableColumn id="11" xr3:uid="{28851C41-A1CC-42D4-87D9-C77891E984D7}" name="Profit"/>
    <tableColumn id="12" xr3:uid="{0BFCC3C0-1870-48A5-BC30-E7EC1840E1EF}" name="Region"/>
    <tableColumn id="13" xr3:uid="{6620F829-113D-4DEE-9B51-3D25619F3436}" name="Country"/>
    <tableColumn id="14" xr3:uid="{2F3B8853-421E-439B-9C74-067E179DB89A}" name="Channel"/>
    <tableColumn id="15" xr3:uid="{A55CF347-C751-4B7F-A0F8-B5E79F8D0D98}" name="Sign-Up Date" dataDxfId="84"/>
    <tableColumn id="16" xr3:uid="{25EEECB5-36CF-4543-911A-49CF03D05851}" name="Campaign Name"/>
    <tableColumn id="17" xr3:uid="{8B4A59C0-39C2-4501-BC19-E72E7BCB76F2}" name="Campaign Start Date" dataDxfId="83"/>
    <tableColumn id="18" xr3:uid="{72D0611D-0C55-487E-A3BC-5F183A338A28}" name="Campaign End Date" dataDxfId="82"/>
    <tableColumn id="19" xr3:uid="{F094366B-3291-4BFB-ADB7-0F025E06931E}" name="Campaign Channel"/>
    <tableColumn id="20" xr3:uid="{E21D1DE4-9EEB-429B-AA16-5C389A452A64}" name="Spend"/>
    <tableColumn id="21" xr3:uid="{A0326E79-BAFE-4A5D-B24D-681ED19A7FBD}" name="Leads"/>
    <tableColumn id="22" xr3:uid="{EA148C99-4C2E-4E69-B25F-A269E411856A}" name="Campaign Orders"/>
    <tableColumn id="23" xr3:uid="{A045B7D1-1772-4B70-9DD7-BECA419AC1E8}" name="Shipping Type"/>
    <tableColumn id="24" xr3:uid="{62095B09-7F65-47D2-B42C-EC9D64E55CC4}" name="Payment Method"/>
    <tableColumn id="25" xr3:uid="{C08C078C-86DC-42FE-83DE-ABC560BF8D69}" name="Frequency of Purcha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4C316DE-4B37-47AD-9B83-26C4A773DABC}" name="Table7" displayName="Table7" ref="B11:P55" totalsRowShown="0" tableBorderDxfId="73" headerRowCellStyle="Accent1">
  <autoFilter ref="B11:P55" xr:uid="{44C316DE-4B37-47AD-9B83-26C4A773DABC}">
    <filterColumn colId="12">
      <colorFilter dxfId="72"/>
    </filterColumn>
  </autoFilter>
  <tableColumns count="15">
    <tableColumn id="1" xr3:uid="{0C636E03-2144-4C8F-B1A9-38DDDD1D0C7A}" name="Customers name" dataDxfId="71"/>
    <tableColumn id="17" xr3:uid="{608F3E83-C9A9-4AAD-9E95-E95D8A53D1D6}" name="Order Date" dataDxfId="70"/>
    <tableColumn id="2" xr3:uid="{9195ED72-3D4A-4435-A145-0AAA5A43A2DA}" name="Sales" dataDxfId="69"/>
    <tableColumn id="7" xr3:uid="{AE5E324B-93BF-492A-9F5C-3F95A6C40DD8}" name="Quantity" dataDxfId="68"/>
    <tableColumn id="15" xr3:uid="{589204F6-472A-4C02-8675-420917CF9A36}" name="Age"/>
    <tableColumn id="14" xr3:uid="{BE1550D7-B651-4BC3-AFCF-43DEB705CCD4}" name="Frequency of Purchase"/>
    <tableColumn id="16" xr3:uid="{F65A8061-8C00-42C2-94AC-4A15B4619FCA}" name="Category"/>
    <tableColumn id="18" xr3:uid="{FA5BD66A-C8D1-4018-9582-E06D91DF11C3}" name="Sign-Up Date" dataDxfId="67"/>
    <tableColumn id="5" xr3:uid="{7D7AE23D-225D-4A48-B5EC-FD3F5EDF920B}" name="Channel" dataDxfId="66"/>
    <tableColumn id="3" xr3:uid="{CB640648-9084-4D7C-A17B-6F130F17BB3B}" name="Task-04" dataDxfId="65">
      <calculatedColumnFormula>IF('IF''S'!$D12&gt;150,"High Value","standard Value")</calculatedColumnFormula>
    </tableColumn>
    <tableColumn id="6" xr3:uid="{CD8B2A52-65D2-48A2-847E-88C7A069D566}" name="Task-05" dataDxfId="64">
      <calculatedColumnFormula>SUMIF(Table7[[#This Row],[Channel]],"online")=COUNTIF(Table7[[#This Row],[Channel]],"offline")</calculatedColumnFormula>
    </tableColumn>
    <tableColumn id="4" xr3:uid="{1401432B-280E-4102-ACFD-4818F33ECCF6}" name="Task-06" dataDxfId="63">
      <calculatedColumnFormula>DATEDIF(I12,C12,"M")</calculatedColumnFormula>
    </tableColumn>
    <tableColumn id="8" xr3:uid="{E7F7D56D-70B5-4FA3-AEC0-E56D831892A7}" name="Task-7.1" dataDxfId="62">
      <calculatedColumnFormula>IF(AND(Table7[[#This Row],[Age]]&gt;=30, Table7[[#This Row],[Age]]&lt;=40), "30-40", "Other")</calculatedColumnFormula>
    </tableColumn>
    <tableColumn id="9" xr3:uid="{8C798DFD-F18E-4730-956A-93DE1F7159C7}" name="Task-7.2" dataDxfId="61">
      <calculatedColumnFormula>SUMIFS(Table7[[#This Row],[Frequency of Purchase]],Table7[[#This Row],[Task-7.1]], "30-40", Table7[[#This Row],[Category]], "Apparel")</calculatedColumnFormula>
    </tableColumn>
    <tableColumn id="11" xr3:uid="{93188701-9C4D-4D0C-B7AA-C2573D7707CB}" name="Task-7.3(Final Answer)" dataDxfId="60">
      <calculatedColumnFormula>SUMIFS(Table7[[#This Row],[Frequency of Purchase]], Table7[[#This Row],[Task-7.1]], "30-40",Table7[[#This Row],[Category]], "Apparel") / COUNTIFS(Table7[[#This Row],[Task-7.1]], "30-40", Table7[[#This Row],[Category]], "Apparel")</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4F2A9A-B796-46CC-BFD2-0DC435A621A8}" name="Table4" displayName="Table4" ref="B6:C10" totalsRowShown="0" headerRowDxfId="58">
  <autoFilter ref="B6:C10" xr:uid="{5A4F2A9A-B796-46CC-BFD2-0DC435A621A8}"/>
  <tableColumns count="2">
    <tableColumn id="1" xr3:uid="{AD056575-4F4A-4859-944C-469B2B60450D}" name="Sales Min" dataDxfId="57"/>
    <tableColumn id="2" xr3:uid="{6E8ECE6E-03B4-4F95-9320-64B1FB5D0768}" name="Discount %"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082264-31C4-4C53-95D0-DE1E7A8B88F7}" name="Table2" displayName="Table2" ref="E6:J49" totalsRowShown="0" headerRowDxfId="55" headerRowBorderDxfId="54" tableBorderDxfId="53" headerRowCellStyle="Accent1">
  <autoFilter ref="E6:J49" xr:uid="{D5082264-31C4-4C53-95D0-DE1E7A8B88F7}"/>
  <tableColumns count="6">
    <tableColumn id="9" xr3:uid="{ABFBB897-611B-416E-8C02-13AB82FBC0DD}" name="Column1" dataDxfId="52"/>
    <tableColumn id="2" xr3:uid="{B8CF0C81-EFE9-4188-83CD-6BC0BBFE05E5}" name="Total Sales" dataDxfId="51"/>
    <tableColumn id="5" xr3:uid="{117A7E8F-4A8A-4EE3-A73E-0806589E3BF5}" name="Discount % To Be Calculated" dataDxfId="50" dataCellStyle="Percent">
      <calculatedColumnFormula>VLOOKUP(Table2[[#This Row],[Total Sales]],Table4[],2,TRUE)</calculatedColumnFormula>
    </tableColumn>
    <tableColumn id="6" xr3:uid="{E020FE9C-B9C8-4564-9003-A319F8795916}" name="Discount Value" dataDxfId="49">
      <calculatedColumnFormula>Table2[[#This Row],[Total Sales]]*Table2[[#This Row],[Discount % To Be Calculated]]</calculatedColumnFormula>
    </tableColumn>
    <tableColumn id="7" xr3:uid="{CC818B42-2A10-4B80-94AA-553E1531201B}" name="Revenue" dataDxfId="48">
      <calculatedColumnFormula>Table2[[#This Row],[Total Sales]]-Table2[[#This Row],[Discount Value]]</calculatedColumnFormula>
    </tableColumn>
    <tableColumn id="1" xr3:uid="{6973000B-4557-44CD-9966-2DE4C9FE0963}" name="ROI (%)" dataDxfId="47">
      <calculatedColumnFormula>Table2[[#This Row],[Revenue]]/Table2[[#This Row],[Total Sales]]*100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6B04D33-E0EF-4811-8521-6BED76A73A90}" name="Table1316" displayName="Table1316" ref="B53:E58" totalsRowShown="0">
  <autoFilter ref="B53:E58" xr:uid="{B6B04D33-E0EF-4811-8521-6BED76A73A90}"/>
  <tableColumns count="4">
    <tableColumn id="1" xr3:uid="{2336BDD3-EF5A-4935-A778-D2569D8666E1}" name="Campaign Channel"/>
    <tableColumn id="2" xr3:uid="{930242DD-BA49-4DDA-B43D-2DFEADCDB671}" name="Spend"/>
    <tableColumn id="3" xr3:uid="{2CFE4437-0245-4FD3-96AB-6C02E24E7F04}" name="Leads"/>
    <tableColumn id="4" xr3:uid="{EA5B13CC-FA1E-4A6F-9681-197677A8D070}" name="Campaign Order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AE09C8D-F6DC-4031-AA38-BE0BAAC466C3}" name="Table3" displayName="Table3" ref="H53:I54" totalsRowShown="0">
  <autoFilter ref="H53:I54" xr:uid="{AAE09C8D-F6DC-4031-AA38-BE0BAAC466C3}"/>
  <tableColumns count="2">
    <tableColumn id="1" xr3:uid="{645BD5AA-90C2-42E3-8FF7-35E9410C45B1}" name="Categories"/>
    <tableColumn id="2" xr3:uid="{DA539F4E-0C65-4B9D-AED3-5BF8039F097D}" name="Channel Name">
      <calculatedColumnFormula>HLOOKUP(Table3[[#This Row],[Categories]],B54:E57,3,TRUE)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7E5389F-49A0-4808-B61F-3758A6AA587E}" name="Table5" displayName="Table5" ref="A66:C110" totalsRowShown="0">
  <autoFilter ref="A66:C110" xr:uid="{B7E5389F-49A0-4808-B61F-3758A6AA587E}"/>
  <tableColumns count="3">
    <tableColumn id="4" xr3:uid="{6E592EA3-8B97-4254-AFF0-F9FB7DEBFF9B}" name="Campaign Channel"/>
    <tableColumn id="5" xr3:uid="{EEDDE81E-7C3C-4908-9428-C985050F96B5}" name="Spend"/>
    <tableColumn id="7" xr3:uid="{EF5F98C2-EBCC-4CEB-82B3-9B8164BD5A68}" name="Campaign Order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007DBF4-30E9-43ED-806A-70E92775EF3C}" name="Table8" displayName="Table8" ref="E66:F110" totalsRowShown="0">
  <autoFilter ref="E66:F110" xr:uid="{A007DBF4-30E9-43ED-806A-70E92775EF3C}"/>
  <tableColumns count="2">
    <tableColumn id="1" xr3:uid="{6D74CC0D-CE65-421D-BE2D-44EEF7D6E20D}" name="Campaign Order"/>
    <tableColumn id="2" xr3:uid="{F1F538BA-211A-49A0-A88F-A51EBCEEFFDB}" name="Spend">
      <calculatedColumnFormula>INDEX(Table5[],MATCH(Table8[[#This Row],[Campaign Order]],Table5[Campaign Orders],0),MATCH(Table8[[#Headers],[Spend]],Table5[#Headers],0))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691CCE0-9D9F-4B48-980E-5BD17890ADA9}" name="Table9" displayName="Table9" ref="A121:D165" totalsRowShown="0" headerRowDxfId="46" dataDxfId="44" headerRowBorderDxfId="45" tableBorderDxfId="43" totalsRowBorderDxfId="42">
  <autoFilter ref="A121:D165" xr:uid="{E691CCE0-9D9F-4B48-980E-5BD17890ADA9}"/>
  <tableColumns count="4">
    <tableColumn id="1" xr3:uid="{03C0F512-0468-4A17-BFC8-295AC3D6C74B}" name="Customer ID" dataDxfId="41"/>
    <tableColumn id="2" xr3:uid="{205941A3-40E9-4A25-B744-D0AC24D7BD2F}" name="Customer Name" dataDxfId="40"/>
    <tableColumn id="9" xr3:uid="{D608C3DE-7A7D-495B-85FD-8F2C91D0AEBA}" name="Profit" dataDxfId="39"/>
    <tableColumn id="11" xr3:uid="{BD3A6DE7-8C80-41D0-9396-677D9235B9C5}" name="Country" dataDxfId="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56B054-09F7-47F5-A836-2B22D5054B8C}" name="Table10" displayName="Table10" ref="G121:J122" totalsRowShown="0">
  <autoFilter ref="G121:J122" xr:uid="{CF56B054-09F7-47F5-A836-2B22D5054B8C}"/>
  <tableColumns count="4">
    <tableColumn id="1" xr3:uid="{47ED149A-6150-40CC-8E90-36AB392E3D17}" name="Customer ID"/>
    <tableColumn id="2" xr3:uid="{D4502A52-6799-46DE-89D0-4EE4F5DB2E29}" name="Customer Name">
      <calculatedColumnFormula>XLOOKUP(Table10[[#This Row],[Customer Name]],Table9[Customer Name],Table9[[Customer Name]:[Country]])</calculatedColumnFormula>
    </tableColumn>
    <tableColumn id="3" xr3:uid="{734DB642-EA23-40E3-B2CF-04C659DB4249}" name="Profit">
      <calculatedColumnFormula>XLOOKUP(Table10[[#This Row],[Profit]],Table9[Profit],Table9[[Customer Name]:[Country]])</calculatedColumnFormula>
    </tableColumn>
    <tableColumn id="4" xr3:uid="{7FEE707D-910E-4677-8D06-95090F5D3DBE}" name="Country">
      <calculatedColumnFormula>XLOOKUP(Table10[[#This Row],[Country]],Table9[Country],Table9[[Customer Name]:[Country]])</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AB3C84-879C-415B-983E-7ED4B7F41941}" name="Table6" displayName="Table6" ref="B3:D47" totalsRowShown="0" headerRowDxfId="37" dataDxfId="35" headerRowBorderDxfId="36" tableBorderDxfId="34" totalsRowBorderDxfId="33">
  <autoFilter ref="B3:D47" xr:uid="{1FAB3C84-879C-415B-983E-7ED4B7F41941}"/>
  <tableColumns count="3">
    <tableColumn id="1" xr3:uid="{C097BED3-8E93-492B-850E-A591F91141C3}" name="Country" dataDxfId="32"/>
    <tableColumn id="2" xr3:uid="{7B07F188-152A-486C-B6C6-92EFBDDEE90E}" name="Month" dataDxfId="31">
      <calculatedColumnFormula>TEXT(Table1[[#This Row],[Order Date]],"mmm")</calculatedColumnFormula>
    </tableColumn>
    <tableColumn id="3" xr3:uid="{05E7FB10-1C0F-4315-B73B-2D1CE5015C0E}" name="Profit" dataDxfId="3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4F6B60-CA4D-409E-B4F6-EC24171E7B25}" name="Table12" displayName="Table12" ref="G3:H18" totalsRowShown="0" dataDxfId="28" headerRowBorderDxfId="29" tableBorderDxfId="27">
  <autoFilter ref="G3:H18" xr:uid="{2C4F6B60-CA4D-409E-B4F6-EC24171E7B25}"/>
  <tableColumns count="2">
    <tableColumn id="1" xr3:uid="{9DFEE0CA-31DC-4304-BEE9-FF7E3DEE6C6E}" name="Profit Analysis" dataDxfId="26"/>
    <tableColumn id="2" xr3:uid="{2750CA5E-C0C5-4F9D-AF08-B9E10A5C415E}" name="Column1" dataDxfId="25"/>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6976620-039C-4E20-98AA-F4D735EA61AD}" name="Table13" displayName="Table13" ref="K3:M12" totalsRowShown="0">
  <autoFilter ref="K3:M12" xr:uid="{D6976620-039C-4E20-98AA-F4D735EA61AD}"/>
  <tableColumns count="3">
    <tableColumn id="1" xr3:uid="{2D619497-F62D-4DF8-B3CA-FB90541C2942}" name="Lower"/>
    <tableColumn id="2" xr3:uid="{EA4A8CC8-2B53-45C1-A1BD-09D62148A208}" name="Upper"/>
    <tableColumn id="3" xr3:uid="{FCE52F09-45E1-4952-9036-9389C7D895B5}" name="Intervals"/>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708AFC-DFFC-4F30-8621-468228DC11E7}" name="Table14" displayName="Table14" ref="P3:Q12" totalsRowShown="0" headerRowDxfId="24" headerRowBorderDxfId="23" tableBorderDxfId="22">
  <autoFilter ref="P3:Q12" xr:uid="{54708AFC-DFFC-4F30-8621-468228DC11E7}"/>
  <tableColumns count="2">
    <tableColumn id="1" xr3:uid="{0053C1C9-581E-4659-AC72-95AFB18B33F0}" name="Upper" dataDxfId="21"/>
    <tableColumn id="2" xr3:uid="{B4C27020-57DD-46BA-8657-1D1A308EB41B}" name="Frequency" dataDxfId="20"/>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A963FFB-0255-4D11-8ED9-55EAF10560B2}" name="Table18" displayName="Table18" ref="A1:D30" totalsRowShown="0">
  <autoFilter ref="A1:D30" xr:uid="{CA963FFB-0255-4D11-8ED9-55EAF10560B2}"/>
  <tableColumns count="4">
    <tableColumn id="1" xr3:uid="{D3236D71-B30A-4E68-841A-10DBAE915067}" name="Order Date" dataDxfId="19"/>
    <tableColumn id="2" xr3:uid="{1BADF76C-4714-4295-8078-2D4763F52450}" name="Sales"/>
    <tableColumn id="3" xr3:uid="{4319A6D9-99C2-4B64-88DF-36EA36970C6A}" name="Forecast(Sales)">
      <calculatedColumnFormula>_xlfn.FORECAST.ETS(A2,$B$2:$B$22,$A$2:$A$22,1,1)</calculatedColumnFormula>
    </tableColumn>
    <tableColumn id="4" xr3:uid="{38FB7E08-F0F8-431B-9386-5D49A8BC9106}" name="Confidence Interval(Sales)">
      <calculatedColumnFormula>_xlfn.FORECAST.ETS.CONFINT(A2,$B$2:$B$22,$A$2:$A$22,0.95,1,1)</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E1E8D4D-70FC-421C-A85B-6B9663DB57F5}" name="Table11" displayName="Table11" ref="CQ4:CS16" totalsRowShown="0" headerRowBorderDxfId="3" headerRowCellStyle="Accent1">
  <autoFilter ref="CQ4:CS16" xr:uid="{0E1E8D4D-70FC-421C-A85B-6B9663DB57F5}">
    <filterColumn colId="1">
      <filters>
        <filter val="YR 2023"/>
      </filters>
    </filterColumn>
  </autoFilter>
  <tableColumns count="3">
    <tableColumn id="1" xr3:uid="{25258CB5-3D58-4904-9015-D5983A221C45}" name="Category" dataDxfId="2"/>
    <tableColumn id="2" xr3:uid="{F5811BA1-90A9-4667-ACEB-0878D115BE39}" name="Years (Order Date)" dataDxfId="1"/>
    <tableColumn id="3" xr3:uid="{ED154F69-FEB8-45E1-9A32-7486E4B97B97}" name="Sal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drawing" Target="../drawings/drawing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drawing" Target="../drawings/drawing3.xml"/><Relationship Id="rId7" Type="http://schemas.openxmlformats.org/officeDocument/2006/relationships/table" Target="../tables/table14.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6.xml"/><Relationship Id="rId13" Type="http://schemas.microsoft.com/office/2007/relationships/slicer" Target="../slicers/slicer4.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microsoft.com/office/2007/relationships/slicer" Target="../slicers/slicer3.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table" Target="../tables/table16.xml"/><Relationship Id="rId5" Type="http://schemas.openxmlformats.org/officeDocument/2006/relationships/pivotTable" Target="../pivotTables/pivotTable13.xml"/><Relationship Id="rId10" Type="http://schemas.openxmlformats.org/officeDocument/2006/relationships/ctrlProp" Target="../ctrlProps/ctrlProp2.xml"/><Relationship Id="rId4" Type="http://schemas.openxmlformats.org/officeDocument/2006/relationships/pivotTable" Target="../pivotTables/pivotTable12.xml"/><Relationship Id="rId9"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07/relationships/slicer" Target="../slicers/slicer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8600D-5828-4653-BC13-A234439FEF0D}">
  <sheetPr codeName="Sheet1"/>
  <dimension ref="A1:X45"/>
  <sheetViews>
    <sheetView tabSelected="1" workbookViewId="0">
      <selection activeCell="Z19" sqref="Z19"/>
    </sheetView>
  </sheetViews>
  <sheetFormatPr defaultRowHeight="15" x14ac:dyDescent="0.25"/>
  <sheetData>
    <row r="1" spans="1:24" ht="15.75" x14ac:dyDescent="0.25">
      <c r="A1" s="1" t="s">
        <v>0</v>
      </c>
    </row>
    <row r="2" spans="1:24" x14ac:dyDescent="0.25">
      <c r="A2" t="s">
        <v>1</v>
      </c>
    </row>
    <row r="3" spans="1:24" x14ac:dyDescent="0.25">
      <c r="A3" t="s">
        <v>2</v>
      </c>
    </row>
    <row r="4" spans="1:24" x14ac:dyDescent="0.25">
      <c r="A4" t="s">
        <v>3</v>
      </c>
      <c r="X4" s="55"/>
    </row>
    <row r="5" spans="1:24" ht="15.75" x14ac:dyDescent="0.25">
      <c r="A5" t="s">
        <v>4</v>
      </c>
      <c r="X5" s="56"/>
    </row>
    <row r="6" spans="1:24" ht="31.5" x14ac:dyDescent="0.6">
      <c r="A6" t="s">
        <v>5</v>
      </c>
      <c r="W6" s="57" t="s">
        <v>342</v>
      </c>
    </row>
    <row r="7" spans="1:24" x14ac:dyDescent="0.25">
      <c r="A7" t="s">
        <v>6</v>
      </c>
    </row>
    <row r="8" spans="1:24" x14ac:dyDescent="0.25">
      <c r="A8" t="s">
        <v>7</v>
      </c>
    </row>
    <row r="9" spans="1:24" x14ac:dyDescent="0.25">
      <c r="A9" t="s">
        <v>8</v>
      </c>
    </row>
    <row r="10" spans="1:24" ht="26.25" x14ac:dyDescent="0.4">
      <c r="A10" t="s">
        <v>9</v>
      </c>
      <c r="W10" t="s">
        <v>343</v>
      </c>
    </row>
    <row r="11" spans="1:24" x14ac:dyDescent="0.25">
      <c r="A11" t="s">
        <v>10</v>
      </c>
    </row>
    <row r="12" spans="1:24" x14ac:dyDescent="0.25">
      <c r="A12" t="s">
        <v>11</v>
      </c>
    </row>
    <row r="13" spans="1:24" x14ac:dyDescent="0.25">
      <c r="A13" t="s">
        <v>12</v>
      </c>
    </row>
    <row r="14" spans="1:24" x14ac:dyDescent="0.25">
      <c r="A14" t="s">
        <v>13</v>
      </c>
    </row>
    <row r="15" spans="1:24" x14ac:dyDescent="0.25">
      <c r="A15" t="s">
        <v>14</v>
      </c>
    </row>
    <row r="16" spans="1:24"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FBEB2-A57E-4055-A41D-F6E6B115FFD1}">
  <sheetPr codeName="Sheet2"/>
  <dimension ref="A1:Z45"/>
  <sheetViews>
    <sheetView topLeftCell="I1" workbookViewId="0">
      <selection activeCell="I2" sqref="I2"/>
    </sheetView>
  </sheetViews>
  <sheetFormatPr defaultRowHeight="15" x14ac:dyDescent="0.25"/>
  <cols>
    <col min="1" max="1" width="10.5703125" customWidth="1"/>
    <col min="2" max="2" width="12.85546875" customWidth="1"/>
    <col min="3" max="3" width="14" customWidth="1"/>
    <col min="4" max="4" width="17.42578125" customWidth="1"/>
    <col min="5" max="5" width="14" customWidth="1"/>
    <col min="6" max="6" width="9.85546875" customWidth="1"/>
    <col min="7" max="7" width="10" customWidth="1"/>
    <col min="8" max="8" width="17.85546875" customWidth="1"/>
    <col min="9" max="9" width="15.5703125" customWidth="1"/>
    <col min="10" max="10" width="10.85546875" customWidth="1"/>
    <col min="12" max="12" width="9.28515625" customWidth="1"/>
    <col min="13" max="13" width="10.140625" customWidth="1"/>
    <col min="14" max="14" width="10.42578125" customWidth="1"/>
    <col min="15" max="15" width="14.7109375" customWidth="1"/>
    <col min="16" max="16" width="17.5703125" customWidth="1"/>
    <col min="17" max="17" width="21" customWidth="1"/>
    <col min="18" max="18" width="20.140625" customWidth="1"/>
    <col min="19" max="19" width="19.5703125" customWidth="1"/>
    <col min="22" max="22" width="18.28515625" customWidth="1"/>
    <col min="23" max="23" width="15.5703125" customWidth="1"/>
    <col min="24" max="25" width="18.5703125" customWidth="1"/>
  </cols>
  <sheetData>
    <row r="1" spans="1:26" x14ac:dyDescent="0.25">
      <c r="A1" t="s">
        <v>45</v>
      </c>
      <c r="B1" t="s">
        <v>251</v>
      </c>
      <c r="C1" t="s">
        <v>46</v>
      </c>
      <c r="D1" t="s">
        <v>47</v>
      </c>
      <c r="E1" t="s">
        <v>48</v>
      </c>
      <c r="F1" t="s">
        <v>49</v>
      </c>
      <c r="G1" t="s">
        <v>50</v>
      </c>
      <c r="H1" t="s">
        <v>51</v>
      </c>
      <c r="I1" t="s">
        <v>52</v>
      </c>
      <c r="J1" t="s">
        <v>53</v>
      </c>
      <c r="K1" t="s">
        <v>54</v>
      </c>
      <c r="L1" t="s">
        <v>55</v>
      </c>
      <c r="M1" t="s">
        <v>56</v>
      </c>
      <c r="N1" t="s">
        <v>57</v>
      </c>
      <c r="O1" t="s">
        <v>58</v>
      </c>
      <c r="P1" t="s">
        <v>59</v>
      </c>
      <c r="Q1" t="s">
        <v>60</v>
      </c>
      <c r="R1" t="s">
        <v>61</v>
      </c>
      <c r="S1" t="s">
        <v>62</v>
      </c>
      <c r="T1" t="s">
        <v>63</v>
      </c>
      <c r="U1" t="s">
        <v>64</v>
      </c>
      <c r="V1" t="s">
        <v>65</v>
      </c>
      <c r="W1" t="s">
        <v>66</v>
      </c>
      <c r="X1" t="s">
        <v>67</v>
      </c>
      <c r="Y1" t="s">
        <v>68</v>
      </c>
      <c r="Z1" t="s">
        <v>69</v>
      </c>
    </row>
    <row r="2" spans="1:26" x14ac:dyDescent="0.25">
      <c r="A2">
        <v>1001</v>
      </c>
      <c r="B2" t="str">
        <f>TEXT(Table1[[#This Row],[Order Date]],"mmm")</f>
        <v>Jan</v>
      </c>
      <c r="C2" s="2">
        <v>44566</v>
      </c>
      <c r="D2" t="s">
        <v>70</v>
      </c>
      <c r="E2" t="s">
        <v>71</v>
      </c>
      <c r="F2">
        <v>28</v>
      </c>
      <c r="G2" t="s">
        <v>72</v>
      </c>
      <c r="H2" t="s">
        <v>73</v>
      </c>
      <c r="I2" t="s">
        <v>74</v>
      </c>
      <c r="J2">
        <v>1200</v>
      </c>
      <c r="K2">
        <v>1</v>
      </c>
      <c r="L2">
        <v>240</v>
      </c>
      <c r="M2" t="s">
        <v>75</v>
      </c>
      <c r="N2" t="s">
        <v>76</v>
      </c>
      <c r="O2" t="s">
        <v>77</v>
      </c>
      <c r="P2" s="2">
        <v>44531</v>
      </c>
      <c r="Q2" t="s">
        <v>78</v>
      </c>
      <c r="R2" s="2">
        <v>44562</v>
      </c>
      <c r="S2" s="2">
        <v>44576</v>
      </c>
      <c r="T2" t="s">
        <v>79</v>
      </c>
      <c r="U2">
        <v>5000</v>
      </c>
      <c r="V2">
        <v>1500</v>
      </c>
      <c r="W2">
        <v>100</v>
      </c>
      <c r="X2" t="s">
        <v>80</v>
      </c>
      <c r="Y2" t="s">
        <v>81</v>
      </c>
      <c r="Z2">
        <v>5</v>
      </c>
    </row>
    <row r="3" spans="1:26" x14ac:dyDescent="0.25">
      <c r="A3">
        <v>1002</v>
      </c>
      <c r="B3" t="str">
        <f>TEXT(Table1[[#This Row],[Order Date]],"mmm")</f>
        <v>Jan</v>
      </c>
      <c r="C3" s="2">
        <v>44566</v>
      </c>
      <c r="D3" t="s">
        <v>82</v>
      </c>
      <c r="E3" t="s">
        <v>83</v>
      </c>
      <c r="F3">
        <v>35</v>
      </c>
      <c r="G3" t="s">
        <v>84</v>
      </c>
      <c r="H3" t="s">
        <v>85</v>
      </c>
      <c r="I3" t="s">
        <v>86</v>
      </c>
      <c r="J3">
        <v>25</v>
      </c>
      <c r="K3">
        <v>2</v>
      </c>
      <c r="L3">
        <v>10</v>
      </c>
      <c r="M3" t="s">
        <v>87</v>
      </c>
      <c r="N3" t="s">
        <v>88</v>
      </c>
      <c r="O3" t="s">
        <v>89</v>
      </c>
      <c r="P3" s="2">
        <v>44510</v>
      </c>
      <c r="Q3" t="s">
        <v>90</v>
      </c>
      <c r="R3" s="2">
        <v>44562</v>
      </c>
      <c r="S3" s="2">
        <v>44568</v>
      </c>
      <c r="T3" t="s">
        <v>91</v>
      </c>
      <c r="U3">
        <v>3000</v>
      </c>
      <c r="V3">
        <v>1000</v>
      </c>
      <c r="W3">
        <v>50</v>
      </c>
      <c r="X3" t="s">
        <v>92</v>
      </c>
      <c r="Y3" t="s">
        <v>93</v>
      </c>
      <c r="Z3">
        <v>3</v>
      </c>
    </row>
    <row r="4" spans="1:26" x14ac:dyDescent="0.25">
      <c r="A4">
        <v>1003</v>
      </c>
      <c r="B4" t="str">
        <f>TEXT(Table1[[#This Row],[Order Date]],"mmm")</f>
        <v>Jan</v>
      </c>
      <c r="C4" s="2">
        <v>44567</v>
      </c>
      <c r="D4" t="s">
        <v>94</v>
      </c>
      <c r="E4" t="s">
        <v>95</v>
      </c>
      <c r="F4">
        <v>42</v>
      </c>
      <c r="G4" t="s">
        <v>72</v>
      </c>
      <c r="H4" t="s">
        <v>96</v>
      </c>
      <c r="I4" t="s">
        <v>74</v>
      </c>
      <c r="J4">
        <v>150</v>
      </c>
      <c r="K4">
        <v>1</v>
      </c>
      <c r="L4">
        <v>30</v>
      </c>
      <c r="M4" t="s">
        <v>97</v>
      </c>
      <c r="N4" t="s">
        <v>98</v>
      </c>
      <c r="O4" t="s">
        <v>77</v>
      </c>
      <c r="P4" s="2">
        <v>44550</v>
      </c>
      <c r="Q4" t="s">
        <v>99</v>
      </c>
      <c r="R4" s="2">
        <v>44571</v>
      </c>
      <c r="S4" s="2">
        <v>44586</v>
      </c>
      <c r="T4" t="s">
        <v>100</v>
      </c>
      <c r="U4">
        <v>7000</v>
      </c>
      <c r="V4">
        <v>2000</v>
      </c>
      <c r="W4">
        <v>120</v>
      </c>
      <c r="X4" t="s">
        <v>80</v>
      </c>
      <c r="Y4" t="s">
        <v>101</v>
      </c>
      <c r="Z4">
        <v>7</v>
      </c>
    </row>
    <row r="5" spans="1:26" x14ac:dyDescent="0.25">
      <c r="A5">
        <v>1004</v>
      </c>
      <c r="B5" t="str">
        <f>TEXT(Table1[[#This Row],[Order Date]],"mmm")</f>
        <v>Jan</v>
      </c>
      <c r="C5" s="2">
        <v>44568</v>
      </c>
      <c r="D5" t="s">
        <v>70</v>
      </c>
      <c r="E5" t="s">
        <v>71</v>
      </c>
      <c r="F5">
        <v>28</v>
      </c>
      <c r="G5" t="s">
        <v>72</v>
      </c>
      <c r="H5" t="s">
        <v>102</v>
      </c>
      <c r="I5" t="s">
        <v>74</v>
      </c>
      <c r="J5">
        <v>30</v>
      </c>
      <c r="K5">
        <v>1</v>
      </c>
      <c r="L5">
        <v>5</v>
      </c>
      <c r="M5" t="s">
        <v>75</v>
      </c>
      <c r="N5" t="s">
        <v>76</v>
      </c>
      <c r="O5" t="s">
        <v>77</v>
      </c>
      <c r="P5" s="2">
        <v>44531</v>
      </c>
      <c r="Q5" t="s">
        <v>78</v>
      </c>
      <c r="R5" s="2">
        <v>44562</v>
      </c>
      <c r="S5" s="2">
        <v>44576</v>
      </c>
      <c r="T5" t="s">
        <v>79</v>
      </c>
      <c r="U5">
        <v>5000</v>
      </c>
      <c r="V5">
        <v>1500</v>
      </c>
      <c r="W5">
        <v>100</v>
      </c>
      <c r="X5" t="s">
        <v>80</v>
      </c>
      <c r="Y5" t="s">
        <v>81</v>
      </c>
      <c r="Z5">
        <v>5</v>
      </c>
    </row>
    <row r="6" spans="1:26" x14ac:dyDescent="0.25">
      <c r="A6">
        <v>1005</v>
      </c>
      <c r="B6" t="str">
        <f>TEXT(Table1[[#This Row],[Order Date]],"mmm")</f>
        <v>Jan</v>
      </c>
      <c r="C6" s="2">
        <v>44569</v>
      </c>
      <c r="D6" t="s">
        <v>103</v>
      </c>
      <c r="E6" t="s">
        <v>104</v>
      </c>
      <c r="F6">
        <v>30</v>
      </c>
      <c r="G6" t="s">
        <v>84</v>
      </c>
      <c r="H6" t="s">
        <v>105</v>
      </c>
      <c r="I6" t="s">
        <v>86</v>
      </c>
      <c r="J6">
        <v>60</v>
      </c>
      <c r="K6">
        <v>1</v>
      </c>
      <c r="L6">
        <v>20</v>
      </c>
      <c r="M6" t="s">
        <v>106</v>
      </c>
      <c r="N6" t="s">
        <v>107</v>
      </c>
      <c r="O6" t="s">
        <v>89</v>
      </c>
      <c r="P6" s="2">
        <v>44562</v>
      </c>
      <c r="Q6" t="s">
        <v>108</v>
      </c>
      <c r="R6" s="2">
        <v>44576</v>
      </c>
      <c r="S6" s="2">
        <v>44591</v>
      </c>
      <c r="T6" t="s">
        <v>109</v>
      </c>
      <c r="U6">
        <v>4000</v>
      </c>
      <c r="V6">
        <v>1200</v>
      </c>
      <c r="W6">
        <v>70</v>
      </c>
      <c r="X6" t="s">
        <v>80</v>
      </c>
      <c r="Y6" t="s">
        <v>81</v>
      </c>
      <c r="Z6">
        <v>2</v>
      </c>
    </row>
    <row r="7" spans="1:26" x14ac:dyDescent="0.25">
      <c r="A7">
        <v>1006</v>
      </c>
      <c r="B7" t="str">
        <f>TEXT(Table1[[#This Row],[Order Date]],"mmm")</f>
        <v>Feb</v>
      </c>
      <c r="C7" s="2">
        <v>44602</v>
      </c>
      <c r="D7" t="s">
        <v>82</v>
      </c>
      <c r="E7" t="s">
        <v>83</v>
      </c>
      <c r="F7">
        <v>35</v>
      </c>
      <c r="G7" t="s">
        <v>84</v>
      </c>
      <c r="H7" t="s">
        <v>110</v>
      </c>
      <c r="I7" t="s">
        <v>74</v>
      </c>
      <c r="J7">
        <v>75</v>
      </c>
      <c r="K7">
        <v>1</v>
      </c>
      <c r="L7">
        <v>15</v>
      </c>
      <c r="M7" t="s">
        <v>87</v>
      </c>
      <c r="N7" t="s">
        <v>88</v>
      </c>
      <c r="O7" t="s">
        <v>77</v>
      </c>
      <c r="P7" s="2">
        <v>44510</v>
      </c>
      <c r="Q7" t="s">
        <v>111</v>
      </c>
      <c r="R7" s="2">
        <v>44593</v>
      </c>
      <c r="S7" s="2">
        <v>44607</v>
      </c>
      <c r="T7" t="s">
        <v>79</v>
      </c>
      <c r="U7">
        <v>4500</v>
      </c>
      <c r="V7">
        <v>1300</v>
      </c>
      <c r="W7">
        <v>80</v>
      </c>
      <c r="X7" t="s">
        <v>80</v>
      </c>
      <c r="Y7" t="s">
        <v>93</v>
      </c>
      <c r="Z7">
        <v>3</v>
      </c>
    </row>
    <row r="8" spans="1:26" x14ac:dyDescent="0.25">
      <c r="A8">
        <v>1007</v>
      </c>
      <c r="B8" t="str">
        <f>TEXT(Table1[[#This Row],[Order Date]],"mmm")</f>
        <v>Feb</v>
      </c>
      <c r="C8" s="2">
        <v>44604</v>
      </c>
      <c r="D8" t="s">
        <v>112</v>
      </c>
      <c r="E8" t="s">
        <v>113</v>
      </c>
      <c r="F8">
        <v>25</v>
      </c>
      <c r="G8" t="s">
        <v>72</v>
      </c>
      <c r="H8" t="s">
        <v>114</v>
      </c>
      <c r="I8" t="s">
        <v>86</v>
      </c>
      <c r="J8">
        <v>100</v>
      </c>
      <c r="K8">
        <v>1</v>
      </c>
      <c r="L8">
        <v>40</v>
      </c>
      <c r="M8" t="s">
        <v>97</v>
      </c>
      <c r="N8" t="s">
        <v>98</v>
      </c>
      <c r="O8" t="s">
        <v>77</v>
      </c>
      <c r="P8" s="2">
        <v>44566</v>
      </c>
      <c r="Q8" t="s">
        <v>115</v>
      </c>
      <c r="R8" s="2">
        <v>44597</v>
      </c>
      <c r="S8" s="2">
        <v>44612</v>
      </c>
      <c r="T8" t="s">
        <v>91</v>
      </c>
      <c r="U8">
        <v>3500</v>
      </c>
      <c r="V8">
        <v>1100</v>
      </c>
      <c r="W8">
        <v>60</v>
      </c>
      <c r="X8" t="s">
        <v>92</v>
      </c>
      <c r="Y8" t="s">
        <v>81</v>
      </c>
      <c r="Z8">
        <v>4</v>
      </c>
    </row>
    <row r="9" spans="1:26" x14ac:dyDescent="0.25">
      <c r="A9">
        <v>1008</v>
      </c>
      <c r="B9" t="str">
        <f>TEXT(Table1[[#This Row],[Order Date]],"mmm")</f>
        <v>Mar</v>
      </c>
      <c r="C9" s="2">
        <v>44621</v>
      </c>
      <c r="D9" t="s">
        <v>94</v>
      </c>
      <c r="E9" t="s">
        <v>95</v>
      </c>
      <c r="F9">
        <v>42</v>
      </c>
      <c r="G9" t="s">
        <v>72</v>
      </c>
      <c r="H9" t="s">
        <v>116</v>
      </c>
      <c r="I9" t="s">
        <v>74</v>
      </c>
      <c r="J9">
        <v>300</v>
      </c>
      <c r="K9">
        <v>1</v>
      </c>
      <c r="L9">
        <v>60</v>
      </c>
      <c r="M9" t="s">
        <v>97</v>
      </c>
      <c r="N9" t="s">
        <v>76</v>
      </c>
      <c r="O9" t="s">
        <v>89</v>
      </c>
      <c r="P9" s="2">
        <v>44550</v>
      </c>
      <c r="Q9" t="s">
        <v>117</v>
      </c>
      <c r="R9" s="2">
        <v>44621</v>
      </c>
      <c r="S9" s="2">
        <v>44630</v>
      </c>
      <c r="T9" t="s">
        <v>100</v>
      </c>
      <c r="U9">
        <v>6000</v>
      </c>
      <c r="V9">
        <v>1800</v>
      </c>
      <c r="W9">
        <v>110</v>
      </c>
      <c r="X9" t="s">
        <v>80</v>
      </c>
      <c r="Y9" t="s">
        <v>101</v>
      </c>
      <c r="Z9">
        <v>7</v>
      </c>
    </row>
    <row r="10" spans="1:26" x14ac:dyDescent="0.25">
      <c r="A10">
        <v>1009</v>
      </c>
      <c r="B10" t="str">
        <f>TEXT(Table1[[#This Row],[Order Date]],"mmm")</f>
        <v>Mar</v>
      </c>
      <c r="C10" s="2">
        <v>44625</v>
      </c>
      <c r="D10" t="s">
        <v>70</v>
      </c>
      <c r="E10" t="s">
        <v>71</v>
      </c>
      <c r="F10">
        <v>28</v>
      </c>
      <c r="G10" t="s">
        <v>72</v>
      </c>
      <c r="H10" t="s">
        <v>118</v>
      </c>
      <c r="I10" t="s">
        <v>74</v>
      </c>
      <c r="J10">
        <v>45</v>
      </c>
      <c r="K10">
        <v>1</v>
      </c>
      <c r="L10">
        <v>10</v>
      </c>
      <c r="M10" t="s">
        <v>75</v>
      </c>
      <c r="N10" t="s">
        <v>88</v>
      </c>
      <c r="O10" t="s">
        <v>77</v>
      </c>
      <c r="P10" s="2">
        <v>44531</v>
      </c>
      <c r="Q10" t="s">
        <v>119</v>
      </c>
      <c r="R10" s="2">
        <v>44621</v>
      </c>
      <c r="S10" s="2">
        <v>44635</v>
      </c>
      <c r="T10" t="s">
        <v>79</v>
      </c>
      <c r="U10">
        <v>5500</v>
      </c>
      <c r="V10">
        <v>1600</v>
      </c>
      <c r="W10">
        <v>90</v>
      </c>
      <c r="X10" t="s">
        <v>80</v>
      </c>
      <c r="Y10" t="s">
        <v>81</v>
      </c>
      <c r="Z10">
        <v>5</v>
      </c>
    </row>
    <row r="11" spans="1:26" x14ac:dyDescent="0.25">
      <c r="A11">
        <v>1010</v>
      </c>
      <c r="B11" t="str">
        <f>TEXT(Table1[[#This Row],[Order Date]],"mmm")</f>
        <v>Apr</v>
      </c>
      <c r="C11" s="2">
        <v>44666</v>
      </c>
      <c r="D11" t="s">
        <v>120</v>
      </c>
      <c r="E11" t="s">
        <v>121</v>
      </c>
      <c r="F11">
        <v>38</v>
      </c>
      <c r="G11" t="s">
        <v>84</v>
      </c>
      <c r="H11" t="s">
        <v>122</v>
      </c>
      <c r="I11" t="s">
        <v>123</v>
      </c>
      <c r="J11">
        <v>80</v>
      </c>
      <c r="K11">
        <v>1</v>
      </c>
      <c r="L11">
        <v>25</v>
      </c>
      <c r="M11" t="s">
        <v>106</v>
      </c>
      <c r="N11" t="s">
        <v>107</v>
      </c>
      <c r="O11" t="s">
        <v>77</v>
      </c>
      <c r="P11" s="2">
        <v>44569</v>
      </c>
      <c r="Q11" t="s">
        <v>124</v>
      </c>
      <c r="R11" s="2">
        <v>44661</v>
      </c>
      <c r="S11" s="2">
        <v>44676</v>
      </c>
      <c r="T11" t="s">
        <v>109</v>
      </c>
      <c r="U11">
        <v>3800</v>
      </c>
      <c r="V11">
        <v>1100</v>
      </c>
      <c r="W11">
        <v>65</v>
      </c>
      <c r="X11" t="s">
        <v>80</v>
      </c>
      <c r="Y11" t="s">
        <v>93</v>
      </c>
      <c r="Z11">
        <v>2</v>
      </c>
    </row>
    <row r="12" spans="1:26" x14ac:dyDescent="0.25">
      <c r="A12">
        <v>1011</v>
      </c>
      <c r="B12" t="str">
        <f>TEXT(Table1[[#This Row],[Order Date]],"mmm")</f>
        <v>May</v>
      </c>
      <c r="C12" s="2">
        <v>44701</v>
      </c>
      <c r="D12" t="s">
        <v>103</v>
      </c>
      <c r="E12" t="s">
        <v>104</v>
      </c>
      <c r="F12">
        <v>30</v>
      </c>
      <c r="G12" t="s">
        <v>84</v>
      </c>
      <c r="H12" t="s">
        <v>125</v>
      </c>
      <c r="I12" t="s">
        <v>86</v>
      </c>
      <c r="J12">
        <v>10</v>
      </c>
      <c r="K12">
        <v>3</v>
      </c>
      <c r="L12">
        <v>3</v>
      </c>
      <c r="M12" t="s">
        <v>106</v>
      </c>
      <c r="N12" t="s">
        <v>98</v>
      </c>
      <c r="O12" t="s">
        <v>89</v>
      </c>
      <c r="P12" s="2">
        <v>44562</v>
      </c>
      <c r="Q12" t="s">
        <v>126</v>
      </c>
      <c r="R12" s="2">
        <v>44682</v>
      </c>
      <c r="S12" s="2">
        <v>44691</v>
      </c>
      <c r="T12" t="s">
        <v>79</v>
      </c>
      <c r="U12">
        <v>2000</v>
      </c>
      <c r="V12">
        <v>700</v>
      </c>
      <c r="W12">
        <v>35</v>
      </c>
      <c r="X12" t="s">
        <v>80</v>
      </c>
      <c r="Y12" t="s">
        <v>81</v>
      </c>
      <c r="Z12">
        <v>2</v>
      </c>
    </row>
    <row r="13" spans="1:26" x14ac:dyDescent="0.25">
      <c r="A13">
        <v>1012</v>
      </c>
      <c r="B13" t="str">
        <f>TEXT(Table1[[#This Row],[Order Date]],"mmm")</f>
        <v>Jun</v>
      </c>
      <c r="C13" s="2">
        <v>44713</v>
      </c>
      <c r="D13" t="s">
        <v>127</v>
      </c>
      <c r="E13" t="s">
        <v>128</v>
      </c>
      <c r="F13">
        <v>31</v>
      </c>
      <c r="G13" t="s">
        <v>72</v>
      </c>
      <c r="H13" t="s">
        <v>129</v>
      </c>
      <c r="I13" t="s">
        <v>74</v>
      </c>
      <c r="J13">
        <v>250</v>
      </c>
      <c r="K13">
        <v>1</v>
      </c>
      <c r="L13">
        <v>50</v>
      </c>
      <c r="M13" t="s">
        <v>75</v>
      </c>
      <c r="N13" t="s">
        <v>76</v>
      </c>
      <c r="O13" t="s">
        <v>77</v>
      </c>
      <c r="P13" s="2">
        <v>44571</v>
      </c>
      <c r="Q13" t="s">
        <v>130</v>
      </c>
      <c r="R13" s="2">
        <v>44713</v>
      </c>
      <c r="S13" s="2">
        <v>44727</v>
      </c>
      <c r="T13" t="s">
        <v>100</v>
      </c>
      <c r="U13">
        <v>6500</v>
      </c>
      <c r="V13">
        <v>1900</v>
      </c>
      <c r="W13">
        <v>115</v>
      </c>
      <c r="X13" t="s">
        <v>92</v>
      </c>
      <c r="Y13" t="s">
        <v>101</v>
      </c>
      <c r="Z13">
        <v>6</v>
      </c>
    </row>
    <row r="14" spans="1:26" x14ac:dyDescent="0.25">
      <c r="A14">
        <v>1013</v>
      </c>
      <c r="B14" t="str">
        <f>TEXT(Table1[[#This Row],[Order Date]],"mmm")</f>
        <v>Jul</v>
      </c>
      <c r="C14" s="2">
        <v>44747</v>
      </c>
      <c r="D14" t="s">
        <v>112</v>
      </c>
      <c r="E14" t="s">
        <v>113</v>
      </c>
      <c r="F14">
        <v>25</v>
      </c>
      <c r="G14" t="s">
        <v>72</v>
      </c>
      <c r="H14" t="s">
        <v>131</v>
      </c>
      <c r="I14" t="s">
        <v>86</v>
      </c>
      <c r="J14">
        <v>120</v>
      </c>
      <c r="K14">
        <v>1</v>
      </c>
      <c r="L14">
        <v>45</v>
      </c>
      <c r="M14" t="s">
        <v>97</v>
      </c>
      <c r="N14" t="s">
        <v>88</v>
      </c>
      <c r="O14" t="s">
        <v>77</v>
      </c>
      <c r="P14" s="2">
        <v>44566</v>
      </c>
      <c r="Q14" t="s">
        <v>132</v>
      </c>
      <c r="R14" s="2">
        <v>44743</v>
      </c>
      <c r="S14" s="2">
        <v>44757</v>
      </c>
      <c r="T14" t="s">
        <v>91</v>
      </c>
      <c r="U14">
        <v>4200</v>
      </c>
      <c r="V14">
        <v>1300</v>
      </c>
      <c r="W14">
        <v>75</v>
      </c>
      <c r="X14" t="s">
        <v>80</v>
      </c>
      <c r="Y14" t="s">
        <v>81</v>
      </c>
      <c r="Z14">
        <v>4</v>
      </c>
    </row>
    <row r="15" spans="1:26" x14ac:dyDescent="0.25">
      <c r="A15">
        <v>1014</v>
      </c>
      <c r="B15" t="str">
        <f>TEXT(Table1[[#This Row],[Order Date]],"mmm")</f>
        <v>Aug</v>
      </c>
      <c r="C15" s="2">
        <v>44783</v>
      </c>
      <c r="D15" t="s">
        <v>133</v>
      </c>
      <c r="E15" t="s">
        <v>134</v>
      </c>
      <c r="F15">
        <v>45</v>
      </c>
      <c r="G15" t="s">
        <v>84</v>
      </c>
      <c r="H15" t="s">
        <v>135</v>
      </c>
      <c r="I15" t="s">
        <v>136</v>
      </c>
      <c r="J15">
        <v>70</v>
      </c>
      <c r="K15">
        <v>1</v>
      </c>
      <c r="L15">
        <v>18</v>
      </c>
      <c r="M15" t="s">
        <v>87</v>
      </c>
      <c r="N15" t="s">
        <v>98</v>
      </c>
      <c r="O15" t="s">
        <v>77</v>
      </c>
      <c r="P15" s="2">
        <v>44573</v>
      </c>
      <c r="Q15" t="s">
        <v>137</v>
      </c>
      <c r="R15" s="2">
        <v>44778</v>
      </c>
      <c r="S15" s="2">
        <v>44793</v>
      </c>
      <c r="T15" t="s">
        <v>79</v>
      </c>
      <c r="U15">
        <v>3000</v>
      </c>
      <c r="V15">
        <v>900</v>
      </c>
      <c r="W15">
        <v>45</v>
      </c>
      <c r="X15" t="s">
        <v>80</v>
      </c>
      <c r="Y15" t="s">
        <v>93</v>
      </c>
      <c r="Z15">
        <v>3</v>
      </c>
    </row>
    <row r="16" spans="1:26" x14ac:dyDescent="0.25">
      <c r="A16">
        <v>1015</v>
      </c>
      <c r="B16" t="str">
        <f>TEXT(Table1[[#This Row],[Order Date]],"mmm")</f>
        <v>Sep</v>
      </c>
      <c r="C16" s="2">
        <v>44819</v>
      </c>
      <c r="D16" t="s">
        <v>138</v>
      </c>
      <c r="E16" t="s">
        <v>139</v>
      </c>
      <c r="F16">
        <v>29</v>
      </c>
      <c r="G16" t="s">
        <v>72</v>
      </c>
      <c r="H16" t="s">
        <v>140</v>
      </c>
      <c r="I16" t="s">
        <v>136</v>
      </c>
      <c r="J16">
        <v>90</v>
      </c>
      <c r="K16">
        <v>1</v>
      </c>
      <c r="L16">
        <v>22</v>
      </c>
      <c r="M16" t="s">
        <v>106</v>
      </c>
      <c r="N16" t="s">
        <v>107</v>
      </c>
      <c r="O16" t="s">
        <v>89</v>
      </c>
      <c r="P16" s="2">
        <v>44576</v>
      </c>
      <c r="Q16" t="s">
        <v>141</v>
      </c>
      <c r="R16" s="2">
        <v>44814</v>
      </c>
      <c r="S16" s="2">
        <v>44829</v>
      </c>
      <c r="T16" t="s">
        <v>109</v>
      </c>
      <c r="U16">
        <v>2800</v>
      </c>
      <c r="V16">
        <v>850</v>
      </c>
      <c r="W16">
        <v>40</v>
      </c>
      <c r="X16" t="s">
        <v>80</v>
      </c>
      <c r="Y16" t="s">
        <v>81</v>
      </c>
      <c r="Z16">
        <v>2</v>
      </c>
    </row>
    <row r="17" spans="1:26" x14ac:dyDescent="0.25">
      <c r="A17">
        <v>1016</v>
      </c>
      <c r="B17" t="str">
        <f>TEXT(Table1[[#This Row],[Order Date]],"mmm")</f>
        <v>Oct</v>
      </c>
      <c r="C17" s="2">
        <v>44854</v>
      </c>
      <c r="D17" t="s">
        <v>70</v>
      </c>
      <c r="E17" t="s">
        <v>71</v>
      </c>
      <c r="F17">
        <v>28</v>
      </c>
      <c r="G17" t="s">
        <v>72</v>
      </c>
      <c r="H17" t="s">
        <v>142</v>
      </c>
      <c r="I17" t="s">
        <v>74</v>
      </c>
      <c r="J17">
        <v>80</v>
      </c>
      <c r="K17">
        <v>1</v>
      </c>
      <c r="L17">
        <v>16</v>
      </c>
      <c r="M17" t="s">
        <v>75</v>
      </c>
      <c r="N17" t="s">
        <v>76</v>
      </c>
      <c r="O17" t="s">
        <v>77</v>
      </c>
      <c r="P17" s="2">
        <v>44531</v>
      </c>
      <c r="Q17" t="s">
        <v>143</v>
      </c>
      <c r="R17" s="2">
        <v>44849</v>
      </c>
      <c r="S17" s="2">
        <v>44864</v>
      </c>
      <c r="T17" t="s">
        <v>100</v>
      </c>
      <c r="U17">
        <v>7200</v>
      </c>
      <c r="V17">
        <v>2100</v>
      </c>
      <c r="W17">
        <v>130</v>
      </c>
      <c r="X17" t="s">
        <v>80</v>
      </c>
      <c r="Y17" t="s">
        <v>81</v>
      </c>
      <c r="Z17">
        <v>5</v>
      </c>
    </row>
    <row r="18" spans="1:26" x14ac:dyDescent="0.25">
      <c r="A18">
        <v>1017</v>
      </c>
      <c r="B18" t="str">
        <f>TEXT(Table1[[#This Row],[Order Date]],"mmm")</f>
        <v>Nov</v>
      </c>
      <c r="C18" s="2">
        <v>44866</v>
      </c>
      <c r="D18" t="s">
        <v>144</v>
      </c>
      <c r="E18" t="s">
        <v>145</v>
      </c>
      <c r="F18">
        <v>33</v>
      </c>
      <c r="G18" t="s">
        <v>84</v>
      </c>
      <c r="H18" t="s">
        <v>146</v>
      </c>
      <c r="I18" t="s">
        <v>136</v>
      </c>
      <c r="J18">
        <v>35</v>
      </c>
      <c r="K18">
        <v>1</v>
      </c>
      <c r="L18">
        <v>8</v>
      </c>
      <c r="M18" t="s">
        <v>97</v>
      </c>
      <c r="N18" t="s">
        <v>88</v>
      </c>
      <c r="O18" t="s">
        <v>77</v>
      </c>
      <c r="P18" s="2">
        <v>44579</v>
      </c>
      <c r="Q18" t="s">
        <v>147</v>
      </c>
      <c r="R18" s="2">
        <v>44866</v>
      </c>
      <c r="S18" s="2">
        <v>44880</v>
      </c>
      <c r="T18" t="s">
        <v>79</v>
      </c>
      <c r="U18">
        <v>2700</v>
      </c>
      <c r="V18">
        <v>800</v>
      </c>
      <c r="W18">
        <v>38</v>
      </c>
      <c r="X18" t="s">
        <v>92</v>
      </c>
      <c r="Y18" t="s">
        <v>101</v>
      </c>
      <c r="Z18">
        <v>4</v>
      </c>
    </row>
    <row r="19" spans="1:26" x14ac:dyDescent="0.25">
      <c r="A19">
        <v>1018</v>
      </c>
      <c r="B19" t="str">
        <f>TEXT(Table1[[#This Row],[Order Date]],"mmm")</f>
        <v>Dec</v>
      </c>
      <c r="C19" s="2">
        <v>44900</v>
      </c>
      <c r="D19" t="s">
        <v>82</v>
      </c>
      <c r="E19" t="s">
        <v>83</v>
      </c>
      <c r="F19">
        <v>35</v>
      </c>
      <c r="G19" t="s">
        <v>84</v>
      </c>
      <c r="H19" t="s">
        <v>148</v>
      </c>
      <c r="I19" t="s">
        <v>86</v>
      </c>
      <c r="J19">
        <v>50</v>
      </c>
      <c r="K19">
        <v>1</v>
      </c>
      <c r="L19">
        <v>15</v>
      </c>
      <c r="M19" t="s">
        <v>87</v>
      </c>
      <c r="N19" t="s">
        <v>98</v>
      </c>
      <c r="O19" t="s">
        <v>77</v>
      </c>
      <c r="P19" s="2">
        <v>44510</v>
      </c>
      <c r="Q19" t="s">
        <v>149</v>
      </c>
      <c r="R19" s="2">
        <v>44896</v>
      </c>
      <c r="S19" s="2">
        <v>44915</v>
      </c>
      <c r="T19" t="s">
        <v>91</v>
      </c>
      <c r="U19">
        <v>5000</v>
      </c>
      <c r="V19">
        <v>1600</v>
      </c>
      <c r="W19">
        <v>95</v>
      </c>
      <c r="X19" t="s">
        <v>80</v>
      </c>
      <c r="Y19" t="s">
        <v>93</v>
      </c>
      <c r="Z19">
        <v>3</v>
      </c>
    </row>
    <row r="20" spans="1:26" x14ac:dyDescent="0.25">
      <c r="A20">
        <v>1019</v>
      </c>
      <c r="B20" t="str">
        <f>TEXT(Table1[[#This Row],[Order Date]],"mmm")</f>
        <v>Jan</v>
      </c>
      <c r="C20" s="2">
        <v>44931</v>
      </c>
      <c r="D20" t="s">
        <v>94</v>
      </c>
      <c r="E20" t="s">
        <v>95</v>
      </c>
      <c r="F20">
        <v>42</v>
      </c>
      <c r="G20" t="s">
        <v>72</v>
      </c>
      <c r="H20" t="s">
        <v>150</v>
      </c>
      <c r="I20" t="s">
        <v>74</v>
      </c>
      <c r="J20">
        <v>400</v>
      </c>
      <c r="K20">
        <v>1</v>
      </c>
      <c r="L20">
        <v>80</v>
      </c>
      <c r="M20" t="s">
        <v>97</v>
      </c>
      <c r="N20" t="s">
        <v>76</v>
      </c>
      <c r="O20" t="s">
        <v>77</v>
      </c>
      <c r="P20" s="2">
        <v>44550</v>
      </c>
      <c r="Q20" t="s">
        <v>151</v>
      </c>
      <c r="R20" s="2">
        <v>44927</v>
      </c>
      <c r="S20" s="2">
        <v>44941</v>
      </c>
      <c r="T20" t="s">
        <v>79</v>
      </c>
      <c r="U20">
        <v>5000</v>
      </c>
      <c r="V20">
        <v>1500</v>
      </c>
      <c r="W20">
        <v>100</v>
      </c>
      <c r="X20" t="s">
        <v>80</v>
      </c>
      <c r="Y20" t="s">
        <v>81</v>
      </c>
      <c r="Z20">
        <v>7</v>
      </c>
    </row>
    <row r="21" spans="1:26" x14ac:dyDescent="0.25">
      <c r="A21">
        <v>1020</v>
      </c>
      <c r="B21" t="str">
        <f>TEXT(Table1[[#This Row],[Order Date]],"mmm")</f>
        <v>Jan</v>
      </c>
      <c r="C21" s="2">
        <v>44949</v>
      </c>
      <c r="D21" t="s">
        <v>120</v>
      </c>
      <c r="E21" t="s">
        <v>121</v>
      </c>
      <c r="F21">
        <v>38</v>
      </c>
      <c r="G21" t="s">
        <v>84</v>
      </c>
      <c r="H21" t="s">
        <v>152</v>
      </c>
      <c r="I21" t="s">
        <v>123</v>
      </c>
      <c r="J21">
        <v>95</v>
      </c>
      <c r="K21">
        <v>1</v>
      </c>
      <c r="L21">
        <v>30</v>
      </c>
      <c r="M21" t="s">
        <v>106</v>
      </c>
      <c r="N21" t="s">
        <v>107</v>
      </c>
      <c r="O21" t="s">
        <v>89</v>
      </c>
      <c r="P21" s="2">
        <v>44569</v>
      </c>
      <c r="Q21" t="s">
        <v>153</v>
      </c>
      <c r="R21" s="2">
        <v>44927</v>
      </c>
      <c r="S21" s="2">
        <v>44933</v>
      </c>
      <c r="T21" t="s">
        <v>91</v>
      </c>
      <c r="U21">
        <v>3000</v>
      </c>
      <c r="V21">
        <v>1000</v>
      </c>
      <c r="W21">
        <v>50</v>
      </c>
      <c r="X21" t="s">
        <v>92</v>
      </c>
      <c r="Y21" t="s">
        <v>93</v>
      </c>
      <c r="Z21">
        <v>2</v>
      </c>
    </row>
    <row r="22" spans="1:26" x14ac:dyDescent="0.25">
      <c r="A22">
        <v>1021</v>
      </c>
      <c r="B22" t="str">
        <f>TEXT(Table1[[#This Row],[Order Date]],"mmm")</f>
        <v>Feb</v>
      </c>
      <c r="C22" s="2">
        <v>44967</v>
      </c>
      <c r="D22" t="s">
        <v>70</v>
      </c>
      <c r="E22" t="s">
        <v>71</v>
      </c>
      <c r="F22">
        <v>28</v>
      </c>
      <c r="G22" t="s">
        <v>72</v>
      </c>
      <c r="H22" t="s">
        <v>154</v>
      </c>
      <c r="I22" t="s">
        <v>74</v>
      </c>
      <c r="J22">
        <v>800</v>
      </c>
      <c r="K22">
        <v>1</v>
      </c>
      <c r="L22">
        <v>160</v>
      </c>
      <c r="M22" t="s">
        <v>75</v>
      </c>
      <c r="N22" t="s">
        <v>88</v>
      </c>
      <c r="O22" t="s">
        <v>77</v>
      </c>
      <c r="P22" s="2">
        <v>44531</v>
      </c>
      <c r="Q22" t="s">
        <v>155</v>
      </c>
      <c r="R22" s="2">
        <v>44958</v>
      </c>
      <c r="S22" s="2">
        <v>44972</v>
      </c>
      <c r="T22" t="s">
        <v>79</v>
      </c>
      <c r="U22">
        <v>4500</v>
      </c>
      <c r="V22">
        <v>1300</v>
      </c>
      <c r="W22">
        <v>80</v>
      </c>
      <c r="X22" t="s">
        <v>80</v>
      </c>
      <c r="Y22" t="s">
        <v>81</v>
      </c>
      <c r="Z22">
        <v>5</v>
      </c>
    </row>
    <row r="23" spans="1:26" x14ac:dyDescent="0.25">
      <c r="A23">
        <v>1022</v>
      </c>
      <c r="B23" t="str">
        <f>TEXT(Table1[[#This Row],[Order Date]],"mmm")</f>
        <v>Mar</v>
      </c>
      <c r="C23" s="2">
        <v>45000</v>
      </c>
      <c r="D23" t="s">
        <v>127</v>
      </c>
      <c r="E23" t="s">
        <v>128</v>
      </c>
      <c r="F23">
        <v>31</v>
      </c>
      <c r="G23" t="s">
        <v>72</v>
      </c>
      <c r="H23" t="s">
        <v>156</v>
      </c>
      <c r="I23" t="s">
        <v>74</v>
      </c>
      <c r="J23">
        <v>120</v>
      </c>
      <c r="K23">
        <v>1</v>
      </c>
      <c r="L23">
        <v>25</v>
      </c>
      <c r="M23" t="s">
        <v>75</v>
      </c>
      <c r="N23" t="s">
        <v>98</v>
      </c>
      <c r="O23" t="s">
        <v>77</v>
      </c>
      <c r="P23" s="2">
        <v>44571</v>
      </c>
      <c r="Q23" t="s">
        <v>157</v>
      </c>
      <c r="R23" s="2">
        <v>44986</v>
      </c>
      <c r="S23" s="2">
        <v>44995</v>
      </c>
      <c r="T23" t="s">
        <v>100</v>
      </c>
      <c r="U23">
        <v>6000</v>
      </c>
      <c r="V23">
        <v>1800</v>
      </c>
      <c r="W23">
        <v>110</v>
      </c>
      <c r="X23" t="s">
        <v>80</v>
      </c>
      <c r="Y23" t="s">
        <v>101</v>
      </c>
      <c r="Z23">
        <v>6</v>
      </c>
    </row>
    <row r="24" spans="1:26" x14ac:dyDescent="0.25">
      <c r="A24">
        <v>1023</v>
      </c>
      <c r="B24" t="str">
        <f>TEXT(Table1[[#This Row],[Order Date]],"mmm")</f>
        <v>Apr</v>
      </c>
      <c r="C24" s="2">
        <v>45036</v>
      </c>
      <c r="D24" t="s">
        <v>112</v>
      </c>
      <c r="E24" t="s">
        <v>113</v>
      </c>
      <c r="F24">
        <v>25</v>
      </c>
      <c r="G24" t="s">
        <v>72</v>
      </c>
      <c r="H24" t="s">
        <v>158</v>
      </c>
      <c r="I24" t="s">
        <v>86</v>
      </c>
      <c r="J24">
        <v>70</v>
      </c>
      <c r="K24">
        <v>1</v>
      </c>
      <c r="L24">
        <v>28</v>
      </c>
      <c r="M24" t="s">
        <v>97</v>
      </c>
      <c r="N24" t="s">
        <v>76</v>
      </c>
      <c r="O24" t="s">
        <v>77</v>
      </c>
      <c r="P24" s="2">
        <v>44566</v>
      </c>
      <c r="Q24" t="s">
        <v>159</v>
      </c>
      <c r="R24" s="2">
        <v>45031</v>
      </c>
      <c r="S24" s="2">
        <v>45046</v>
      </c>
      <c r="T24" t="s">
        <v>91</v>
      </c>
      <c r="U24">
        <v>3500</v>
      </c>
      <c r="V24">
        <v>1100</v>
      </c>
      <c r="W24">
        <v>60</v>
      </c>
      <c r="X24" t="s">
        <v>92</v>
      </c>
      <c r="Y24" t="s">
        <v>81</v>
      </c>
      <c r="Z24">
        <v>4</v>
      </c>
    </row>
    <row r="25" spans="1:26" x14ac:dyDescent="0.25">
      <c r="A25">
        <v>1024</v>
      </c>
      <c r="B25" t="str">
        <f>TEXT(Table1[[#This Row],[Order Date]],"mmm")</f>
        <v>May</v>
      </c>
      <c r="C25" s="2">
        <v>45047</v>
      </c>
      <c r="D25" t="s">
        <v>133</v>
      </c>
      <c r="E25" t="s">
        <v>134</v>
      </c>
      <c r="F25">
        <v>45</v>
      </c>
      <c r="G25" t="s">
        <v>84</v>
      </c>
      <c r="H25" t="s">
        <v>160</v>
      </c>
      <c r="I25" t="s">
        <v>136</v>
      </c>
      <c r="J25">
        <v>100</v>
      </c>
      <c r="K25">
        <v>1</v>
      </c>
      <c r="L25">
        <v>30</v>
      </c>
      <c r="M25" t="s">
        <v>87</v>
      </c>
      <c r="N25" t="s">
        <v>88</v>
      </c>
      <c r="O25" t="s">
        <v>77</v>
      </c>
      <c r="P25" s="2">
        <v>44573</v>
      </c>
      <c r="Q25" t="s">
        <v>161</v>
      </c>
      <c r="R25" s="2">
        <v>45047</v>
      </c>
      <c r="S25" s="2">
        <v>45056</v>
      </c>
      <c r="T25" t="s">
        <v>79</v>
      </c>
      <c r="U25">
        <v>2000</v>
      </c>
      <c r="V25">
        <v>700</v>
      </c>
      <c r="W25">
        <v>35</v>
      </c>
      <c r="X25" t="s">
        <v>80</v>
      </c>
      <c r="Y25" t="s">
        <v>93</v>
      </c>
      <c r="Z25">
        <v>3</v>
      </c>
    </row>
    <row r="26" spans="1:26" x14ac:dyDescent="0.25">
      <c r="A26">
        <v>1025</v>
      </c>
      <c r="B26" t="str">
        <f>TEXT(Table1[[#This Row],[Order Date]],"mmm")</f>
        <v>Jun</v>
      </c>
      <c r="C26" s="2">
        <v>45082</v>
      </c>
      <c r="D26" t="s">
        <v>138</v>
      </c>
      <c r="E26" t="s">
        <v>139</v>
      </c>
      <c r="F26">
        <v>29</v>
      </c>
      <c r="G26" t="s">
        <v>72</v>
      </c>
      <c r="H26" t="s">
        <v>162</v>
      </c>
      <c r="I26" t="s">
        <v>86</v>
      </c>
      <c r="J26">
        <v>40</v>
      </c>
      <c r="K26">
        <v>2</v>
      </c>
      <c r="L26">
        <v>15</v>
      </c>
      <c r="M26" t="s">
        <v>106</v>
      </c>
      <c r="N26" t="s">
        <v>98</v>
      </c>
      <c r="O26" t="s">
        <v>89</v>
      </c>
      <c r="P26" s="2">
        <v>44576</v>
      </c>
      <c r="Q26" t="s">
        <v>163</v>
      </c>
      <c r="R26" s="2">
        <v>45078</v>
      </c>
      <c r="S26" s="2">
        <v>45092</v>
      </c>
      <c r="T26" t="s">
        <v>109</v>
      </c>
      <c r="U26">
        <v>2800</v>
      </c>
      <c r="V26">
        <v>850</v>
      </c>
      <c r="W26">
        <v>40</v>
      </c>
      <c r="X26" t="s">
        <v>80</v>
      </c>
      <c r="Y26" t="s">
        <v>81</v>
      </c>
      <c r="Z26">
        <v>2</v>
      </c>
    </row>
    <row r="27" spans="1:26" x14ac:dyDescent="0.25">
      <c r="A27">
        <v>1026</v>
      </c>
      <c r="B27" t="str">
        <f>TEXT(Table1[[#This Row],[Order Date]],"mmm")</f>
        <v>Jul</v>
      </c>
      <c r="C27" s="2">
        <v>45117</v>
      </c>
      <c r="D27" t="s">
        <v>144</v>
      </c>
      <c r="E27" t="s">
        <v>145</v>
      </c>
      <c r="F27">
        <v>33</v>
      </c>
      <c r="G27" t="s">
        <v>84</v>
      </c>
      <c r="H27" t="s">
        <v>164</v>
      </c>
      <c r="I27" t="s">
        <v>74</v>
      </c>
      <c r="J27">
        <v>90</v>
      </c>
      <c r="K27">
        <v>1</v>
      </c>
      <c r="L27">
        <v>20</v>
      </c>
      <c r="M27" t="s">
        <v>97</v>
      </c>
      <c r="N27" t="s">
        <v>107</v>
      </c>
      <c r="O27" t="s">
        <v>77</v>
      </c>
      <c r="P27" s="2">
        <v>44579</v>
      </c>
      <c r="Q27" t="s">
        <v>165</v>
      </c>
      <c r="R27" s="2">
        <v>45108</v>
      </c>
      <c r="S27" s="2">
        <v>45122</v>
      </c>
      <c r="T27" t="s">
        <v>100</v>
      </c>
      <c r="U27">
        <v>6500</v>
      </c>
      <c r="V27">
        <v>1900</v>
      </c>
      <c r="W27">
        <v>115</v>
      </c>
      <c r="X27" t="s">
        <v>92</v>
      </c>
      <c r="Y27" t="s">
        <v>101</v>
      </c>
      <c r="Z27">
        <v>4</v>
      </c>
    </row>
    <row r="28" spans="1:26" x14ac:dyDescent="0.25">
      <c r="A28">
        <v>1027</v>
      </c>
      <c r="B28" t="str">
        <f>TEXT(Table1[[#This Row],[Order Date]],"mmm")</f>
        <v>Aug</v>
      </c>
      <c r="C28" s="2">
        <v>45153</v>
      </c>
      <c r="D28" t="s">
        <v>70</v>
      </c>
      <c r="E28" t="s">
        <v>71</v>
      </c>
      <c r="F28">
        <v>28</v>
      </c>
      <c r="G28" t="s">
        <v>72</v>
      </c>
      <c r="H28" t="s">
        <v>166</v>
      </c>
      <c r="I28" t="s">
        <v>74</v>
      </c>
      <c r="J28">
        <v>180</v>
      </c>
      <c r="K28">
        <v>1</v>
      </c>
      <c r="L28">
        <v>40</v>
      </c>
      <c r="M28" t="s">
        <v>75</v>
      </c>
      <c r="N28" t="s">
        <v>76</v>
      </c>
      <c r="O28" t="s">
        <v>77</v>
      </c>
      <c r="P28" s="2">
        <v>44531</v>
      </c>
      <c r="Q28" t="s">
        <v>167</v>
      </c>
      <c r="R28" s="2">
        <v>45148</v>
      </c>
      <c r="S28" s="2">
        <v>45163</v>
      </c>
      <c r="T28" t="s">
        <v>79</v>
      </c>
      <c r="U28">
        <v>5500</v>
      </c>
      <c r="V28">
        <v>1600</v>
      </c>
      <c r="W28">
        <v>90</v>
      </c>
      <c r="X28" t="s">
        <v>80</v>
      </c>
      <c r="Y28" t="s">
        <v>81</v>
      </c>
      <c r="Z28">
        <v>5</v>
      </c>
    </row>
    <row r="29" spans="1:26" x14ac:dyDescent="0.25">
      <c r="A29">
        <v>1028</v>
      </c>
      <c r="B29" t="str">
        <f>TEXT(Table1[[#This Row],[Order Date]],"mmm")</f>
        <v>Sep</v>
      </c>
      <c r="C29" s="2">
        <v>45189</v>
      </c>
      <c r="D29" t="s">
        <v>82</v>
      </c>
      <c r="E29" t="s">
        <v>83</v>
      </c>
      <c r="F29">
        <v>35</v>
      </c>
      <c r="G29" t="s">
        <v>84</v>
      </c>
      <c r="H29" t="s">
        <v>168</v>
      </c>
      <c r="I29" t="s">
        <v>86</v>
      </c>
      <c r="J29">
        <v>150</v>
      </c>
      <c r="K29">
        <v>1</v>
      </c>
      <c r="L29">
        <v>60</v>
      </c>
      <c r="M29" t="s">
        <v>87</v>
      </c>
      <c r="N29" t="s">
        <v>88</v>
      </c>
      <c r="O29" t="s">
        <v>77</v>
      </c>
      <c r="P29" s="2">
        <v>44510</v>
      </c>
      <c r="Q29" t="s">
        <v>169</v>
      </c>
      <c r="R29" s="2">
        <v>45184</v>
      </c>
      <c r="S29" s="2">
        <v>45199</v>
      </c>
      <c r="T29" t="s">
        <v>91</v>
      </c>
      <c r="U29">
        <v>4000</v>
      </c>
      <c r="V29">
        <v>1200</v>
      </c>
      <c r="W29">
        <v>70</v>
      </c>
      <c r="X29" t="s">
        <v>80</v>
      </c>
      <c r="Y29" t="s">
        <v>93</v>
      </c>
      <c r="Z29">
        <v>3</v>
      </c>
    </row>
    <row r="30" spans="1:26" x14ac:dyDescent="0.25">
      <c r="A30">
        <v>1029</v>
      </c>
      <c r="B30" t="str">
        <f>TEXT(Table1[[#This Row],[Order Date]],"mmm")</f>
        <v>Oct</v>
      </c>
      <c r="C30" s="2">
        <v>45224</v>
      </c>
      <c r="D30" t="s">
        <v>94</v>
      </c>
      <c r="E30" t="s">
        <v>95</v>
      </c>
      <c r="F30">
        <v>42</v>
      </c>
      <c r="G30" t="s">
        <v>72</v>
      </c>
      <c r="H30" t="s">
        <v>170</v>
      </c>
      <c r="I30" t="s">
        <v>136</v>
      </c>
      <c r="J30">
        <v>350</v>
      </c>
      <c r="K30">
        <v>1</v>
      </c>
      <c r="L30">
        <v>70</v>
      </c>
      <c r="M30" t="s">
        <v>97</v>
      </c>
      <c r="N30" t="s">
        <v>98</v>
      </c>
      <c r="O30" t="s">
        <v>77</v>
      </c>
      <c r="P30" s="2">
        <v>44550</v>
      </c>
      <c r="Q30" t="s">
        <v>171</v>
      </c>
      <c r="R30" s="2">
        <v>45219</v>
      </c>
      <c r="S30" s="2">
        <v>45230</v>
      </c>
      <c r="T30" t="s">
        <v>100</v>
      </c>
      <c r="U30">
        <v>7200</v>
      </c>
      <c r="V30">
        <v>2100</v>
      </c>
      <c r="W30">
        <v>130</v>
      </c>
      <c r="X30" t="s">
        <v>92</v>
      </c>
      <c r="Y30" t="s">
        <v>101</v>
      </c>
      <c r="Z30">
        <v>7</v>
      </c>
    </row>
    <row r="31" spans="1:26" x14ac:dyDescent="0.25">
      <c r="A31">
        <v>1030</v>
      </c>
      <c r="B31" t="str">
        <f>TEXT(Table1[[#This Row],[Order Date]],"mmm")</f>
        <v>Nov</v>
      </c>
      <c r="C31" s="2">
        <v>45231</v>
      </c>
      <c r="D31" t="s">
        <v>103</v>
      </c>
      <c r="E31" t="s">
        <v>104</v>
      </c>
      <c r="F31">
        <v>30</v>
      </c>
      <c r="G31" t="s">
        <v>84</v>
      </c>
      <c r="H31" t="s">
        <v>172</v>
      </c>
      <c r="I31" t="s">
        <v>123</v>
      </c>
      <c r="J31">
        <v>110</v>
      </c>
      <c r="K31">
        <v>1</v>
      </c>
      <c r="L31">
        <v>35</v>
      </c>
      <c r="M31" t="s">
        <v>106</v>
      </c>
      <c r="N31" t="s">
        <v>107</v>
      </c>
      <c r="O31" t="s">
        <v>89</v>
      </c>
      <c r="P31" s="2">
        <v>44562</v>
      </c>
      <c r="Q31" t="s">
        <v>173</v>
      </c>
      <c r="R31" s="2">
        <v>45231</v>
      </c>
      <c r="S31" s="2">
        <v>45245</v>
      </c>
      <c r="T31" t="s">
        <v>109</v>
      </c>
      <c r="U31">
        <v>3800</v>
      </c>
      <c r="V31">
        <v>1100</v>
      </c>
      <c r="W31">
        <v>65</v>
      </c>
      <c r="X31" t="s">
        <v>80</v>
      </c>
      <c r="Y31" t="s">
        <v>81</v>
      </c>
      <c r="Z31">
        <v>2</v>
      </c>
    </row>
    <row r="32" spans="1:26" x14ac:dyDescent="0.25">
      <c r="A32">
        <v>1031</v>
      </c>
      <c r="B32" t="str">
        <f>TEXT(Table1[[#This Row],[Order Date]],"mmm")</f>
        <v>Dec</v>
      </c>
      <c r="C32" s="2">
        <v>45265</v>
      </c>
      <c r="D32" t="s">
        <v>112</v>
      </c>
      <c r="E32" t="s">
        <v>113</v>
      </c>
      <c r="F32">
        <v>25</v>
      </c>
      <c r="G32" t="s">
        <v>72</v>
      </c>
      <c r="H32" t="s">
        <v>174</v>
      </c>
      <c r="I32" t="s">
        <v>136</v>
      </c>
      <c r="J32">
        <v>50</v>
      </c>
      <c r="K32">
        <v>3</v>
      </c>
      <c r="L32">
        <v>15</v>
      </c>
      <c r="M32" t="s">
        <v>97</v>
      </c>
      <c r="N32" t="s">
        <v>76</v>
      </c>
      <c r="O32" t="s">
        <v>77</v>
      </c>
      <c r="P32" s="2">
        <v>44566</v>
      </c>
      <c r="Q32" t="s">
        <v>175</v>
      </c>
      <c r="R32" s="2">
        <v>45261</v>
      </c>
      <c r="S32" s="2">
        <v>45280</v>
      </c>
      <c r="T32" t="s">
        <v>79</v>
      </c>
      <c r="U32">
        <v>2700</v>
      </c>
      <c r="V32">
        <v>800</v>
      </c>
      <c r="W32">
        <v>38</v>
      </c>
      <c r="X32" t="s">
        <v>80</v>
      </c>
      <c r="Y32" t="s">
        <v>81</v>
      </c>
      <c r="Z32">
        <v>4</v>
      </c>
    </row>
    <row r="33" spans="1:26" x14ac:dyDescent="0.25">
      <c r="A33">
        <v>1032</v>
      </c>
      <c r="B33" t="str">
        <f>TEXT(Table1[[#This Row],[Order Date]],"mmm")</f>
        <v>Jan</v>
      </c>
      <c r="C33" s="2">
        <v>45296</v>
      </c>
      <c r="D33" t="s">
        <v>120</v>
      </c>
      <c r="E33" t="s">
        <v>121</v>
      </c>
      <c r="F33">
        <v>38</v>
      </c>
      <c r="G33" t="s">
        <v>84</v>
      </c>
      <c r="H33" t="s">
        <v>176</v>
      </c>
      <c r="I33" t="s">
        <v>74</v>
      </c>
      <c r="J33">
        <v>1300</v>
      </c>
      <c r="K33">
        <v>1</v>
      </c>
      <c r="L33">
        <v>260</v>
      </c>
      <c r="M33" t="s">
        <v>106</v>
      </c>
      <c r="N33" t="s">
        <v>88</v>
      </c>
      <c r="O33" t="s">
        <v>77</v>
      </c>
      <c r="P33" s="2">
        <v>44569</v>
      </c>
      <c r="Q33" t="s">
        <v>177</v>
      </c>
      <c r="R33" s="2">
        <v>45292</v>
      </c>
      <c r="S33" s="2">
        <v>45306</v>
      </c>
      <c r="T33" t="s">
        <v>79</v>
      </c>
      <c r="U33">
        <v>5200</v>
      </c>
      <c r="V33">
        <v>1600</v>
      </c>
      <c r="W33">
        <v>105</v>
      </c>
      <c r="X33" t="s">
        <v>80</v>
      </c>
      <c r="Y33" t="s">
        <v>81</v>
      </c>
      <c r="Z33">
        <v>2</v>
      </c>
    </row>
    <row r="34" spans="1:26" x14ac:dyDescent="0.25">
      <c r="A34">
        <v>1033</v>
      </c>
      <c r="B34" t="str">
        <f>TEXT(Table1[[#This Row],[Order Date]],"mmm")</f>
        <v>Jan</v>
      </c>
      <c r="C34" s="2">
        <v>45301</v>
      </c>
      <c r="D34" t="s">
        <v>127</v>
      </c>
      <c r="E34" t="s">
        <v>128</v>
      </c>
      <c r="F34">
        <v>31</v>
      </c>
      <c r="G34" t="s">
        <v>72</v>
      </c>
      <c r="H34" t="s">
        <v>178</v>
      </c>
      <c r="I34" t="s">
        <v>74</v>
      </c>
      <c r="J34">
        <v>180</v>
      </c>
      <c r="K34">
        <v>1</v>
      </c>
      <c r="L34">
        <v>35</v>
      </c>
      <c r="M34" t="s">
        <v>75</v>
      </c>
      <c r="N34" t="s">
        <v>98</v>
      </c>
      <c r="O34" t="s">
        <v>77</v>
      </c>
      <c r="P34" s="2">
        <v>44571</v>
      </c>
      <c r="Q34" t="s">
        <v>179</v>
      </c>
      <c r="R34" s="2">
        <v>45292</v>
      </c>
      <c r="S34" s="2">
        <v>45298</v>
      </c>
      <c r="T34" t="s">
        <v>91</v>
      </c>
      <c r="U34">
        <v>3200</v>
      </c>
      <c r="V34">
        <v>1100</v>
      </c>
      <c r="W34">
        <v>55</v>
      </c>
      <c r="X34" t="s">
        <v>92</v>
      </c>
      <c r="Y34" t="s">
        <v>101</v>
      </c>
      <c r="Z34">
        <v>6</v>
      </c>
    </row>
    <row r="35" spans="1:26" x14ac:dyDescent="0.25">
      <c r="A35">
        <v>1034</v>
      </c>
      <c r="B35" t="str">
        <f>TEXT(Table1[[#This Row],[Order Date]],"mmm")</f>
        <v>Feb</v>
      </c>
      <c r="C35" s="2">
        <v>45337</v>
      </c>
      <c r="D35" t="s">
        <v>133</v>
      </c>
      <c r="E35" t="s">
        <v>134</v>
      </c>
      <c r="F35">
        <v>45</v>
      </c>
      <c r="G35" t="s">
        <v>84</v>
      </c>
      <c r="H35" t="s">
        <v>180</v>
      </c>
      <c r="I35" t="s">
        <v>136</v>
      </c>
      <c r="J35">
        <v>150</v>
      </c>
      <c r="K35">
        <v>1</v>
      </c>
      <c r="L35">
        <v>40</v>
      </c>
      <c r="M35" t="s">
        <v>87</v>
      </c>
      <c r="N35" t="s">
        <v>76</v>
      </c>
      <c r="O35" t="s">
        <v>77</v>
      </c>
      <c r="P35" s="2">
        <v>44573</v>
      </c>
      <c r="Q35" t="s">
        <v>181</v>
      </c>
      <c r="R35" s="2">
        <v>45323</v>
      </c>
      <c r="S35" s="2">
        <v>45337</v>
      </c>
      <c r="T35" t="s">
        <v>100</v>
      </c>
      <c r="U35">
        <v>6200</v>
      </c>
      <c r="V35">
        <v>1900</v>
      </c>
      <c r="W35">
        <v>125</v>
      </c>
      <c r="X35" t="s">
        <v>80</v>
      </c>
      <c r="Y35" t="s">
        <v>93</v>
      </c>
      <c r="Z35">
        <v>3</v>
      </c>
    </row>
    <row r="36" spans="1:26" x14ac:dyDescent="0.25">
      <c r="A36">
        <v>1035</v>
      </c>
      <c r="B36" t="str">
        <f>TEXT(Table1[[#This Row],[Order Date]],"mmm")</f>
        <v>Mar</v>
      </c>
      <c r="C36" s="2">
        <v>45371</v>
      </c>
      <c r="D36" t="s">
        <v>138</v>
      </c>
      <c r="E36" t="s">
        <v>139</v>
      </c>
      <c r="F36">
        <v>29</v>
      </c>
      <c r="G36" t="s">
        <v>72</v>
      </c>
      <c r="H36" t="s">
        <v>182</v>
      </c>
      <c r="I36" t="s">
        <v>86</v>
      </c>
      <c r="J36">
        <v>130</v>
      </c>
      <c r="K36">
        <v>1</v>
      </c>
      <c r="L36">
        <v>50</v>
      </c>
      <c r="M36" t="s">
        <v>106</v>
      </c>
      <c r="N36" t="s">
        <v>88</v>
      </c>
      <c r="O36" t="s">
        <v>89</v>
      </c>
      <c r="P36" s="2">
        <v>44576</v>
      </c>
      <c r="Q36" t="s">
        <v>183</v>
      </c>
      <c r="R36" s="2">
        <v>45366</v>
      </c>
      <c r="S36" s="2">
        <v>45381</v>
      </c>
      <c r="T36" t="s">
        <v>109</v>
      </c>
      <c r="U36">
        <v>4200</v>
      </c>
      <c r="V36">
        <v>1300</v>
      </c>
      <c r="W36">
        <v>75</v>
      </c>
      <c r="X36" t="s">
        <v>80</v>
      </c>
      <c r="Y36" t="s">
        <v>81</v>
      </c>
      <c r="Z36">
        <v>2</v>
      </c>
    </row>
    <row r="37" spans="1:26" x14ac:dyDescent="0.25">
      <c r="A37">
        <v>1036</v>
      </c>
      <c r="B37" t="str">
        <f>TEXT(Table1[[#This Row],[Order Date]],"mmm")</f>
        <v>Apr</v>
      </c>
      <c r="C37" s="2">
        <v>45407</v>
      </c>
      <c r="D37" t="s">
        <v>144</v>
      </c>
      <c r="E37" t="s">
        <v>145</v>
      </c>
      <c r="F37">
        <v>33</v>
      </c>
      <c r="G37" t="s">
        <v>84</v>
      </c>
      <c r="H37" t="s">
        <v>184</v>
      </c>
      <c r="I37" t="s">
        <v>74</v>
      </c>
      <c r="J37">
        <v>70</v>
      </c>
      <c r="K37">
        <v>1</v>
      </c>
      <c r="L37">
        <v>15</v>
      </c>
      <c r="M37" t="s">
        <v>97</v>
      </c>
      <c r="N37" t="s">
        <v>98</v>
      </c>
      <c r="O37" t="s">
        <v>77</v>
      </c>
      <c r="P37" s="2">
        <v>44579</v>
      </c>
      <c r="Q37" t="s">
        <v>185</v>
      </c>
      <c r="R37" s="2">
        <v>45402</v>
      </c>
      <c r="S37" s="2">
        <v>45412</v>
      </c>
      <c r="T37" t="s">
        <v>79</v>
      </c>
      <c r="U37">
        <v>2800</v>
      </c>
      <c r="V37">
        <v>850</v>
      </c>
      <c r="W37">
        <v>42</v>
      </c>
      <c r="X37" t="s">
        <v>80</v>
      </c>
      <c r="Y37" t="s">
        <v>101</v>
      </c>
      <c r="Z37">
        <v>4</v>
      </c>
    </row>
    <row r="38" spans="1:26" x14ac:dyDescent="0.25">
      <c r="A38">
        <v>1037</v>
      </c>
      <c r="B38" t="str">
        <f>TEXT(Table1[[#This Row],[Order Date]],"mmm")</f>
        <v>May</v>
      </c>
      <c r="C38" s="2">
        <v>45413</v>
      </c>
      <c r="D38" t="s">
        <v>70</v>
      </c>
      <c r="E38" t="s">
        <v>71</v>
      </c>
      <c r="F38">
        <v>28</v>
      </c>
      <c r="G38" t="s">
        <v>72</v>
      </c>
      <c r="H38" t="s">
        <v>186</v>
      </c>
      <c r="I38" t="s">
        <v>74</v>
      </c>
      <c r="J38">
        <v>100</v>
      </c>
      <c r="K38">
        <v>1</v>
      </c>
      <c r="L38">
        <v>20</v>
      </c>
      <c r="M38" t="s">
        <v>75</v>
      </c>
      <c r="N38" t="s">
        <v>107</v>
      </c>
      <c r="O38" t="s">
        <v>77</v>
      </c>
      <c r="P38" s="2">
        <v>44531</v>
      </c>
      <c r="Q38" t="s">
        <v>187</v>
      </c>
      <c r="R38" s="2">
        <v>45413</v>
      </c>
      <c r="S38" s="2">
        <v>45422</v>
      </c>
      <c r="T38" t="s">
        <v>91</v>
      </c>
      <c r="U38">
        <v>2200</v>
      </c>
      <c r="V38">
        <v>750</v>
      </c>
      <c r="W38">
        <v>37</v>
      </c>
      <c r="X38" t="s">
        <v>92</v>
      </c>
      <c r="Y38" t="s">
        <v>81</v>
      </c>
      <c r="Z38">
        <v>5</v>
      </c>
    </row>
    <row r="39" spans="1:26" x14ac:dyDescent="0.25">
      <c r="A39">
        <v>1038</v>
      </c>
      <c r="B39" t="str">
        <f>TEXT(Table1[[#This Row],[Order Date]],"mmm")</f>
        <v>Jun</v>
      </c>
      <c r="C39" s="2">
        <v>45453</v>
      </c>
      <c r="D39" t="s">
        <v>82</v>
      </c>
      <c r="E39" t="s">
        <v>83</v>
      </c>
      <c r="F39">
        <v>35</v>
      </c>
      <c r="G39" t="s">
        <v>84</v>
      </c>
      <c r="H39" t="s">
        <v>188</v>
      </c>
      <c r="I39" t="s">
        <v>189</v>
      </c>
      <c r="J39">
        <v>200</v>
      </c>
      <c r="K39">
        <v>1</v>
      </c>
      <c r="L39">
        <v>50</v>
      </c>
      <c r="M39" t="s">
        <v>87</v>
      </c>
      <c r="N39" t="s">
        <v>76</v>
      </c>
      <c r="O39" t="s">
        <v>89</v>
      </c>
      <c r="P39" s="2">
        <v>44510</v>
      </c>
      <c r="Q39" t="s">
        <v>190</v>
      </c>
      <c r="R39" s="2">
        <v>45448</v>
      </c>
      <c r="S39" s="2">
        <v>45463</v>
      </c>
      <c r="T39" t="s">
        <v>100</v>
      </c>
      <c r="U39">
        <v>5800</v>
      </c>
      <c r="V39">
        <v>1700</v>
      </c>
      <c r="W39">
        <v>100</v>
      </c>
      <c r="X39" t="s">
        <v>80</v>
      </c>
      <c r="Y39" t="s">
        <v>93</v>
      </c>
      <c r="Z39">
        <v>3</v>
      </c>
    </row>
    <row r="40" spans="1:26" x14ac:dyDescent="0.25">
      <c r="A40">
        <v>1039</v>
      </c>
      <c r="B40" t="str">
        <f>TEXT(Table1[[#This Row],[Order Date]],"mmm")</f>
        <v>Jul</v>
      </c>
      <c r="C40" s="2">
        <v>45488</v>
      </c>
      <c r="D40" t="s">
        <v>94</v>
      </c>
      <c r="E40" t="s">
        <v>95</v>
      </c>
      <c r="F40">
        <v>42</v>
      </c>
      <c r="G40" t="s">
        <v>72</v>
      </c>
      <c r="H40" t="s">
        <v>191</v>
      </c>
      <c r="I40" t="s">
        <v>136</v>
      </c>
      <c r="J40">
        <v>60</v>
      </c>
      <c r="K40">
        <v>1</v>
      </c>
      <c r="L40">
        <v>12</v>
      </c>
      <c r="M40" t="s">
        <v>97</v>
      </c>
      <c r="N40" t="s">
        <v>88</v>
      </c>
      <c r="O40" t="s">
        <v>77</v>
      </c>
      <c r="P40" s="2">
        <v>44550</v>
      </c>
      <c r="Q40" t="s">
        <v>192</v>
      </c>
      <c r="R40" s="2">
        <v>45483</v>
      </c>
      <c r="S40" s="2">
        <v>45498</v>
      </c>
      <c r="T40" t="s">
        <v>79</v>
      </c>
      <c r="U40">
        <v>3000</v>
      </c>
      <c r="V40">
        <v>900</v>
      </c>
      <c r="W40">
        <v>45</v>
      </c>
      <c r="X40" t="s">
        <v>80</v>
      </c>
      <c r="Y40" t="s">
        <v>101</v>
      </c>
      <c r="Z40">
        <v>7</v>
      </c>
    </row>
    <row r="41" spans="1:26" x14ac:dyDescent="0.25">
      <c r="A41">
        <v>1040</v>
      </c>
      <c r="B41" t="str">
        <f>TEXT(Table1[[#This Row],[Order Date]],"mmm")</f>
        <v>Aug</v>
      </c>
      <c r="C41" s="2">
        <v>45524</v>
      </c>
      <c r="D41" t="s">
        <v>103</v>
      </c>
      <c r="E41" t="s">
        <v>104</v>
      </c>
      <c r="F41">
        <v>30</v>
      </c>
      <c r="G41" t="s">
        <v>84</v>
      </c>
      <c r="H41" t="s">
        <v>193</v>
      </c>
      <c r="I41" t="s">
        <v>86</v>
      </c>
      <c r="J41">
        <v>80</v>
      </c>
      <c r="K41">
        <v>1</v>
      </c>
      <c r="L41">
        <v>25</v>
      </c>
      <c r="M41" t="s">
        <v>106</v>
      </c>
      <c r="N41" t="s">
        <v>98</v>
      </c>
      <c r="O41" t="s">
        <v>77</v>
      </c>
      <c r="P41" s="2">
        <v>44562</v>
      </c>
      <c r="Q41" t="s">
        <v>194</v>
      </c>
      <c r="R41" s="2">
        <v>45519</v>
      </c>
      <c r="S41" s="2">
        <v>45534</v>
      </c>
      <c r="T41" t="s">
        <v>109</v>
      </c>
      <c r="U41">
        <v>3500</v>
      </c>
      <c r="V41">
        <v>1000</v>
      </c>
      <c r="W41">
        <v>55</v>
      </c>
      <c r="X41" t="s">
        <v>80</v>
      </c>
      <c r="Y41" t="s">
        <v>81</v>
      </c>
      <c r="Z41">
        <v>2</v>
      </c>
    </row>
    <row r="42" spans="1:26" x14ac:dyDescent="0.25">
      <c r="A42">
        <v>1041</v>
      </c>
      <c r="B42" t="str">
        <f>TEXT(Table1[[#This Row],[Order Date]],"mmm")</f>
        <v>Sep</v>
      </c>
      <c r="C42" s="2">
        <v>45560</v>
      </c>
      <c r="D42" t="s">
        <v>112</v>
      </c>
      <c r="E42" t="s">
        <v>113</v>
      </c>
      <c r="F42">
        <v>25</v>
      </c>
      <c r="G42" t="s">
        <v>72</v>
      </c>
      <c r="H42" t="s">
        <v>195</v>
      </c>
      <c r="I42" t="s">
        <v>86</v>
      </c>
      <c r="J42">
        <v>20</v>
      </c>
      <c r="K42">
        <v>2</v>
      </c>
      <c r="L42">
        <v>8</v>
      </c>
      <c r="M42" t="s">
        <v>97</v>
      </c>
      <c r="N42" t="s">
        <v>107</v>
      </c>
      <c r="O42" t="s">
        <v>77</v>
      </c>
      <c r="P42" s="2">
        <v>44566</v>
      </c>
      <c r="Q42" t="s">
        <v>196</v>
      </c>
      <c r="R42" s="2">
        <v>45555</v>
      </c>
      <c r="S42" s="2">
        <v>45565</v>
      </c>
      <c r="T42" t="s">
        <v>79</v>
      </c>
      <c r="U42">
        <v>2500</v>
      </c>
      <c r="V42">
        <v>700</v>
      </c>
      <c r="W42">
        <v>30</v>
      </c>
      <c r="X42" t="s">
        <v>92</v>
      </c>
      <c r="Y42" t="s">
        <v>81</v>
      </c>
      <c r="Z42">
        <v>4</v>
      </c>
    </row>
    <row r="43" spans="1:26" x14ac:dyDescent="0.25">
      <c r="A43">
        <v>1042</v>
      </c>
      <c r="B43" t="str">
        <f>TEXT(Table1[[#This Row],[Order Date]],"mmm")</f>
        <v>Oct</v>
      </c>
      <c r="C43" s="2">
        <v>45595</v>
      </c>
      <c r="D43" t="s">
        <v>120</v>
      </c>
      <c r="E43" t="s">
        <v>121</v>
      </c>
      <c r="F43">
        <v>38</v>
      </c>
      <c r="G43" t="s">
        <v>84</v>
      </c>
      <c r="H43" t="s">
        <v>197</v>
      </c>
      <c r="I43" t="s">
        <v>74</v>
      </c>
      <c r="J43">
        <v>450</v>
      </c>
      <c r="K43">
        <v>1</v>
      </c>
      <c r="L43">
        <v>90</v>
      </c>
      <c r="M43" t="s">
        <v>106</v>
      </c>
      <c r="N43" t="s">
        <v>76</v>
      </c>
      <c r="O43" t="s">
        <v>77</v>
      </c>
      <c r="P43" s="2">
        <v>44569</v>
      </c>
      <c r="Q43" t="s">
        <v>198</v>
      </c>
      <c r="R43" s="2">
        <v>45590</v>
      </c>
      <c r="S43" s="2">
        <v>45596</v>
      </c>
      <c r="T43" t="s">
        <v>100</v>
      </c>
      <c r="U43">
        <v>7500</v>
      </c>
      <c r="V43">
        <v>2200</v>
      </c>
      <c r="W43">
        <v>140</v>
      </c>
      <c r="X43" t="s">
        <v>80</v>
      </c>
      <c r="Y43" t="s">
        <v>93</v>
      </c>
      <c r="Z43">
        <v>2</v>
      </c>
    </row>
    <row r="44" spans="1:26" x14ac:dyDescent="0.25">
      <c r="A44">
        <v>1043</v>
      </c>
      <c r="B44" t="str">
        <f>TEXT(Table1[[#This Row],[Order Date]],"mmm")</f>
        <v>Nov</v>
      </c>
      <c r="C44" s="2">
        <v>45601</v>
      </c>
      <c r="D44" t="s">
        <v>127</v>
      </c>
      <c r="E44" t="s">
        <v>128</v>
      </c>
      <c r="F44">
        <v>31</v>
      </c>
      <c r="G44" t="s">
        <v>72</v>
      </c>
      <c r="H44" t="s">
        <v>199</v>
      </c>
      <c r="I44" t="s">
        <v>136</v>
      </c>
      <c r="J44">
        <v>25</v>
      </c>
      <c r="K44">
        <v>4</v>
      </c>
      <c r="L44">
        <v>10</v>
      </c>
      <c r="M44" t="s">
        <v>75</v>
      </c>
      <c r="N44" t="s">
        <v>88</v>
      </c>
      <c r="O44" t="s">
        <v>77</v>
      </c>
      <c r="P44" s="2">
        <v>44571</v>
      </c>
      <c r="Q44" t="s">
        <v>200</v>
      </c>
      <c r="R44" s="2">
        <v>45597</v>
      </c>
      <c r="S44" s="2">
        <v>45611</v>
      </c>
      <c r="T44" t="s">
        <v>79</v>
      </c>
      <c r="U44">
        <v>2900</v>
      </c>
      <c r="V44">
        <v>880</v>
      </c>
      <c r="W44">
        <v>40</v>
      </c>
      <c r="X44" t="s">
        <v>80</v>
      </c>
      <c r="Y44" t="s">
        <v>101</v>
      </c>
      <c r="Z44">
        <v>6</v>
      </c>
    </row>
    <row r="45" spans="1:26" x14ac:dyDescent="0.25">
      <c r="A45">
        <v>1044</v>
      </c>
      <c r="B45" t="str">
        <f>TEXT(Table1[[#This Row],[Order Date]],"mmm")</f>
        <v>Dec</v>
      </c>
      <c r="C45" s="2">
        <v>45636</v>
      </c>
      <c r="D45" t="s">
        <v>133</v>
      </c>
      <c r="E45" t="s">
        <v>134</v>
      </c>
      <c r="F45">
        <v>45</v>
      </c>
      <c r="G45" t="s">
        <v>84</v>
      </c>
      <c r="H45" t="s">
        <v>201</v>
      </c>
      <c r="I45" t="s">
        <v>86</v>
      </c>
      <c r="J45">
        <v>30</v>
      </c>
      <c r="K45">
        <v>2</v>
      </c>
      <c r="L45">
        <v>10</v>
      </c>
      <c r="M45" t="s">
        <v>87</v>
      </c>
      <c r="N45" t="s">
        <v>98</v>
      </c>
      <c r="O45" t="s">
        <v>89</v>
      </c>
      <c r="P45" s="2">
        <v>44573</v>
      </c>
      <c r="Q45" t="s">
        <v>202</v>
      </c>
      <c r="R45" s="2">
        <v>45631</v>
      </c>
      <c r="S45" s="2">
        <v>45646</v>
      </c>
      <c r="T45" t="s">
        <v>91</v>
      </c>
      <c r="U45">
        <v>5200</v>
      </c>
      <c r="V45">
        <v>1700</v>
      </c>
      <c r="W45">
        <v>100</v>
      </c>
      <c r="X45" t="s">
        <v>92</v>
      </c>
      <c r="Y45" t="s">
        <v>93</v>
      </c>
      <c r="Z45">
        <v>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E3A82-8C5A-4131-907F-06761E673CC0}">
  <sheetPr codeName="Sheet3"/>
  <dimension ref="A1:O54"/>
  <sheetViews>
    <sheetView workbookViewId="0">
      <selection activeCell="M50" sqref="M50"/>
    </sheetView>
  </sheetViews>
  <sheetFormatPr defaultRowHeight="15" x14ac:dyDescent="0.25"/>
  <cols>
    <col min="2" max="2" width="22" bestFit="1" customWidth="1"/>
    <col min="3" max="3" width="12.140625" bestFit="1" customWidth="1"/>
    <col min="4" max="5" width="12.5703125" bestFit="1" customWidth="1"/>
    <col min="6" max="6" width="12.140625" bestFit="1" customWidth="1"/>
    <col min="7" max="7" width="12.5703125" bestFit="1" customWidth="1"/>
    <col min="8" max="8" width="12.140625" bestFit="1" customWidth="1"/>
    <col min="9" max="9" width="12.5703125" bestFit="1" customWidth="1"/>
    <col min="10" max="10" width="12.42578125" bestFit="1" customWidth="1"/>
    <col min="11" max="11" width="12.5703125" bestFit="1" customWidth="1"/>
    <col min="12" max="12" width="12.140625" bestFit="1" customWidth="1"/>
    <col min="13" max="13" width="12.5703125" bestFit="1" customWidth="1"/>
    <col min="14" max="14" width="17.28515625" bestFit="1" customWidth="1"/>
    <col min="15" max="15" width="17.7109375" bestFit="1" customWidth="1"/>
    <col min="16" max="16" width="17.28515625" bestFit="1" customWidth="1"/>
    <col min="17" max="17" width="15.42578125" bestFit="1" customWidth="1"/>
    <col min="18" max="18" width="8.28515625" bestFit="1" customWidth="1"/>
    <col min="19" max="19" width="14" bestFit="1" customWidth="1"/>
    <col min="20" max="20" width="11.140625" bestFit="1" customWidth="1"/>
    <col min="21" max="21" width="6.5703125" bestFit="1" customWidth="1"/>
    <col min="22" max="22" width="18.5703125" bestFit="1" customWidth="1"/>
    <col min="23" max="23" width="15.7109375" bestFit="1" customWidth="1"/>
    <col min="24" max="24" width="18.140625" bestFit="1" customWidth="1"/>
    <col min="25" max="25" width="14.140625" bestFit="1" customWidth="1"/>
    <col min="26" max="26" width="9" bestFit="1" customWidth="1"/>
    <col min="27" max="27" width="16.85546875" bestFit="1" customWidth="1"/>
    <col min="28" max="28" width="14.28515625" bestFit="1" customWidth="1"/>
    <col min="29" max="29" width="10.42578125" bestFit="1" customWidth="1"/>
    <col min="30" max="30" width="11.42578125" bestFit="1" customWidth="1"/>
    <col min="31" max="31" width="16.42578125" bestFit="1" customWidth="1"/>
    <col min="32" max="32" width="17" bestFit="1" customWidth="1"/>
    <col min="33" max="33" width="11.28515625" bestFit="1" customWidth="1"/>
    <col min="34" max="34" width="8" bestFit="1" customWidth="1"/>
    <col min="35" max="35" width="10.5703125" bestFit="1" customWidth="1"/>
    <col min="36" max="36" width="12.42578125" bestFit="1" customWidth="1"/>
    <col min="37" max="37" width="8.42578125" bestFit="1" customWidth="1"/>
    <col min="38" max="38" width="9.5703125" bestFit="1" customWidth="1"/>
    <col min="39" max="39" width="17.28515625" bestFit="1" customWidth="1"/>
    <col min="40" max="40" width="17.7109375" bestFit="1" customWidth="1"/>
    <col min="41" max="41" width="17.28515625" bestFit="1" customWidth="1"/>
    <col min="42" max="42" width="17.7109375" bestFit="1" customWidth="1"/>
  </cols>
  <sheetData>
    <row r="1" spans="1:15" ht="15.75" x14ac:dyDescent="0.25">
      <c r="A1" s="4" t="s">
        <v>209</v>
      </c>
      <c r="B1" s="1"/>
      <c r="C1" s="1"/>
      <c r="D1" s="1"/>
      <c r="E1" s="1"/>
      <c r="F1" s="1"/>
      <c r="G1" s="1"/>
      <c r="H1" s="1"/>
      <c r="I1" s="1"/>
      <c r="J1" s="1"/>
      <c r="K1" s="1"/>
      <c r="L1" s="1"/>
    </row>
    <row r="4" spans="1:15" ht="18.75" x14ac:dyDescent="0.3">
      <c r="B4" t="s">
        <v>203</v>
      </c>
      <c r="C4" t="s">
        <v>204</v>
      </c>
      <c r="D4" t="s">
        <v>205</v>
      </c>
      <c r="E4" t="s">
        <v>206</v>
      </c>
      <c r="F4" t="s">
        <v>207</v>
      </c>
      <c r="G4" t="s">
        <v>208</v>
      </c>
      <c r="I4" s="40" t="s">
        <v>325</v>
      </c>
      <c r="K4" s="40" t="s">
        <v>326</v>
      </c>
    </row>
    <row r="5" spans="1:15" x14ac:dyDescent="0.25">
      <c r="B5">
        <v>8120</v>
      </c>
      <c r="C5">
        <v>1865</v>
      </c>
      <c r="D5">
        <v>184.54545454545453</v>
      </c>
      <c r="E5">
        <v>42.386363636363633</v>
      </c>
      <c r="F5">
        <v>1300</v>
      </c>
      <c r="G5">
        <v>3</v>
      </c>
      <c r="I5" s="41">
        <f>GETPIVOTDATA("Sum of Profit",$B$4)/GETPIVOTDATA("Sum of Sales",$B$4)*100</f>
        <v>22.967980295566505</v>
      </c>
      <c r="K5" s="41">
        <f>GETPIVOTDATA("Average of Sales2",$B$4)/GETPIVOTDATA("Average of Profit2",$B$4)</f>
        <v>4.3538873994638072</v>
      </c>
    </row>
    <row r="8" spans="1:15" ht="18.75" x14ac:dyDescent="0.3">
      <c r="A8" s="3" t="s">
        <v>218</v>
      </c>
    </row>
    <row r="11" spans="1:15" ht="18.75" x14ac:dyDescent="0.3">
      <c r="M11" s="3"/>
      <c r="N11" s="8"/>
      <c r="O11" s="8"/>
    </row>
    <row r="13" spans="1:15" x14ac:dyDescent="0.25">
      <c r="D13" s="5" t="s">
        <v>215</v>
      </c>
    </row>
    <row r="14" spans="1:15" x14ac:dyDescent="0.25">
      <c r="D14" t="s">
        <v>86</v>
      </c>
      <c r="F14" t="s">
        <v>74</v>
      </c>
      <c r="H14" t="s">
        <v>123</v>
      </c>
      <c r="J14" t="s">
        <v>136</v>
      </c>
      <c r="L14" t="s">
        <v>189</v>
      </c>
      <c r="N14" t="s">
        <v>216</v>
      </c>
      <c r="O14" t="s">
        <v>217</v>
      </c>
    </row>
    <row r="15" spans="1:15" x14ac:dyDescent="0.25">
      <c r="C15" s="5" t="s">
        <v>210</v>
      </c>
      <c r="D15" t="s">
        <v>203</v>
      </c>
      <c r="E15" t="s">
        <v>204</v>
      </c>
      <c r="F15" t="s">
        <v>203</v>
      </c>
      <c r="G15" t="s">
        <v>204</v>
      </c>
      <c r="H15" t="s">
        <v>203</v>
      </c>
      <c r="I15" t="s">
        <v>204</v>
      </c>
      <c r="J15" t="s">
        <v>203</v>
      </c>
      <c r="K15" t="s">
        <v>204</v>
      </c>
      <c r="L15" t="s">
        <v>203</v>
      </c>
      <c r="M15" t="s">
        <v>204</v>
      </c>
    </row>
    <row r="16" spans="1:15" x14ac:dyDescent="0.25">
      <c r="C16" s="6" t="s">
        <v>212</v>
      </c>
      <c r="D16">
        <v>365</v>
      </c>
      <c r="E16">
        <v>133</v>
      </c>
      <c r="F16">
        <v>2130</v>
      </c>
      <c r="G16">
        <v>426</v>
      </c>
      <c r="H16">
        <v>80</v>
      </c>
      <c r="I16">
        <v>25</v>
      </c>
      <c r="J16">
        <v>195</v>
      </c>
      <c r="K16">
        <v>48</v>
      </c>
      <c r="N16">
        <v>2770</v>
      </c>
      <c r="O16">
        <v>632</v>
      </c>
    </row>
    <row r="17" spans="1:15" x14ac:dyDescent="0.25">
      <c r="C17" s="6" t="s">
        <v>213</v>
      </c>
      <c r="D17">
        <v>260</v>
      </c>
      <c r="E17">
        <v>103</v>
      </c>
      <c r="F17">
        <v>1590</v>
      </c>
      <c r="G17">
        <v>325</v>
      </c>
      <c r="H17">
        <v>205</v>
      </c>
      <c r="I17">
        <v>65</v>
      </c>
      <c r="J17">
        <v>500</v>
      </c>
      <c r="K17">
        <v>115</v>
      </c>
      <c r="N17">
        <v>2555</v>
      </c>
      <c r="O17">
        <v>608</v>
      </c>
    </row>
    <row r="18" spans="1:15" x14ac:dyDescent="0.25">
      <c r="C18" s="6" t="s">
        <v>214</v>
      </c>
      <c r="D18">
        <v>260</v>
      </c>
      <c r="E18">
        <v>93</v>
      </c>
      <c r="F18">
        <v>2100</v>
      </c>
      <c r="G18">
        <v>420</v>
      </c>
      <c r="J18">
        <v>235</v>
      </c>
      <c r="K18">
        <v>62</v>
      </c>
      <c r="L18">
        <v>200</v>
      </c>
      <c r="M18">
        <v>50</v>
      </c>
      <c r="N18">
        <v>2795</v>
      </c>
      <c r="O18">
        <v>625</v>
      </c>
    </row>
    <row r="19" spans="1:15" x14ac:dyDescent="0.25">
      <c r="C19" s="6" t="s">
        <v>211</v>
      </c>
      <c r="D19">
        <v>885</v>
      </c>
      <c r="E19">
        <v>329</v>
      </c>
      <c r="F19">
        <v>5820</v>
      </c>
      <c r="G19">
        <v>1171</v>
      </c>
      <c r="H19">
        <v>285</v>
      </c>
      <c r="I19">
        <v>90</v>
      </c>
      <c r="J19">
        <v>930</v>
      </c>
      <c r="K19">
        <v>225</v>
      </c>
      <c r="L19">
        <v>200</v>
      </c>
      <c r="M19">
        <v>50</v>
      </c>
      <c r="N19">
        <v>8120</v>
      </c>
      <c r="O19">
        <v>1865</v>
      </c>
    </row>
    <row r="22" spans="1:15" ht="18.75" x14ac:dyDescent="0.3">
      <c r="A22" s="3" t="s">
        <v>219</v>
      </c>
    </row>
    <row r="23" spans="1:15" x14ac:dyDescent="0.25">
      <c r="B23" s="5" t="s">
        <v>220</v>
      </c>
      <c r="C23" t="s">
        <v>339</v>
      </c>
    </row>
    <row r="25" spans="1:15" x14ac:dyDescent="0.25">
      <c r="B25" s="5" t="s">
        <v>210</v>
      </c>
      <c r="C25" t="s">
        <v>203</v>
      </c>
      <c r="D25" t="s">
        <v>204</v>
      </c>
    </row>
    <row r="26" spans="1:15" x14ac:dyDescent="0.25">
      <c r="B26" s="6" t="s">
        <v>71</v>
      </c>
      <c r="C26">
        <v>2360</v>
      </c>
      <c r="D26">
        <v>476</v>
      </c>
    </row>
    <row r="27" spans="1:15" x14ac:dyDescent="0.25">
      <c r="B27" s="7" t="s">
        <v>186</v>
      </c>
      <c r="C27">
        <v>100</v>
      </c>
      <c r="D27">
        <v>20</v>
      </c>
    </row>
    <row r="28" spans="1:15" x14ac:dyDescent="0.25">
      <c r="B28" s="7" t="s">
        <v>142</v>
      </c>
      <c r="C28">
        <v>80</v>
      </c>
      <c r="D28">
        <v>16</v>
      </c>
    </row>
    <row r="29" spans="1:15" x14ac:dyDescent="0.25">
      <c r="B29" s="7" t="s">
        <v>166</v>
      </c>
      <c r="C29">
        <v>180</v>
      </c>
      <c r="D29">
        <v>40</v>
      </c>
    </row>
    <row r="30" spans="1:15" x14ac:dyDescent="0.25">
      <c r="B30" s="7" t="s">
        <v>73</v>
      </c>
      <c r="C30">
        <v>1200</v>
      </c>
      <c r="D30">
        <v>240</v>
      </c>
      <c r="J30" s="5" t="s">
        <v>57</v>
      </c>
      <c r="K30" t="s">
        <v>203</v>
      </c>
      <c r="L30" t="s">
        <v>204</v>
      </c>
    </row>
    <row r="31" spans="1:15" x14ac:dyDescent="0.25">
      <c r="B31" s="7" t="s">
        <v>154</v>
      </c>
      <c r="C31">
        <v>800</v>
      </c>
      <c r="D31">
        <v>160</v>
      </c>
      <c r="J31" s="6" t="s">
        <v>107</v>
      </c>
      <c r="K31">
        <v>645</v>
      </c>
      <c r="L31">
        <v>180</v>
      </c>
    </row>
    <row r="32" spans="1:15" x14ac:dyDescent="0.25">
      <c r="B32" s="6" t="s">
        <v>121</v>
      </c>
      <c r="C32">
        <v>1925</v>
      </c>
      <c r="D32">
        <v>405</v>
      </c>
      <c r="J32" s="6" t="s">
        <v>88</v>
      </c>
      <c r="K32">
        <v>2865</v>
      </c>
      <c r="L32">
        <v>670</v>
      </c>
    </row>
    <row r="33" spans="2:12" x14ac:dyDescent="0.25">
      <c r="B33" s="7" t="s">
        <v>197</v>
      </c>
      <c r="C33">
        <v>450</v>
      </c>
      <c r="D33">
        <v>90</v>
      </c>
      <c r="J33" s="6" t="s">
        <v>98</v>
      </c>
      <c r="K33">
        <v>1250</v>
      </c>
      <c r="L33">
        <v>301</v>
      </c>
    </row>
    <row r="34" spans="2:12" x14ac:dyDescent="0.25">
      <c r="B34" s="7" t="s">
        <v>176</v>
      </c>
      <c r="C34">
        <v>1300</v>
      </c>
      <c r="D34">
        <v>260</v>
      </c>
      <c r="J34" s="6" t="s">
        <v>76</v>
      </c>
      <c r="K34">
        <v>3360</v>
      </c>
      <c r="L34">
        <v>714</v>
      </c>
    </row>
    <row r="35" spans="2:12" x14ac:dyDescent="0.25">
      <c r="B35" s="7" t="s">
        <v>152</v>
      </c>
      <c r="C35">
        <v>95</v>
      </c>
      <c r="D35">
        <v>30</v>
      </c>
      <c r="J35" s="6" t="s">
        <v>211</v>
      </c>
      <c r="K35">
        <v>8120</v>
      </c>
      <c r="L35">
        <v>1865</v>
      </c>
    </row>
    <row r="36" spans="2:12" x14ac:dyDescent="0.25">
      <c r="B36" s="7" t="s">
        <v>122</v>
      </c>
      <c r="C36">
        <v>80</v>
      </c>
      <c r="D36">
        <v>25</v>
      </c>
    </row>
    <row r="37" spans="2:12" x14ac:dyDescent="0.25">
      <c r="B37" s="6" t="s">
        <v>95</v>
      </c>
      <c r="C37">
        <v>1260</v>
      </c>
      <c r="D37">
        <v>252</v>
      </c>
    </row>
    <row r="38" spans="2:12" x14ac:dyDescent="0.25">
      <c r="B38" s="7" t="s">
        <v>96</v>
      </c>
      <c r="C38">
        <v>150</v>
      </c>
      <c r="D38">
        <v>30</v>
      </c>
    </row>
    <row r="39" spans="2:12" x14ac:dyDescent="0.25">
      <c r="B39" s="7" t="s">
        <v>116</v>
      </c>
      <c r="C39">
        <v>300</v>
      </c>
      <c r="D39">
        <v>60</v>
      </c>
    </row>
    <row r="40" spans="2:12" x14ac:dyDescent="0.25">
      <c r="B40" s="7" t="s">
        <v>170</v>
      </c>
      <c r="C40">
        <v>350</v>
      </c>
      <c r="D40">
        <v>70</v>
      </c>
    </row>
    <row r="41" spans="2:12" x14ac:dyDescent="0.25">
      <c r="B41" s="7" t="s">
        <v>191</v>
      </c>
      <c r="C41">
        <v>60</v>
      </c>
      <c r="D41">
        <v>12</v>
      </c>
    </row>
    <row r="42" spans="2:12" x14ac:dyDescent="0.25">
      <c r="B42" s="7" t="s">
        <v>150</v>
      </c>
      <c r="C42">
        <v>400</v>
      </c>
      <c r="D42">
        <v>80</v>
      </c>
    </row>
    <row r="43" spans="2:12" x14ac:dyDescent="0.25">
      <c r="B43" s="6" t="s">
        <v>83</v>
      </c>
      <c r="C43">
        <v>500</v>
      </c>
      <c r="D43">
        <v>150</v>
      </c>
    </row>
    <row r="44" spans="2:12" x14ac:dyDescent="0.25">
      <c r="B44" s="7" t="s">
        <v>188</v>
      </c>
      <c r="C44">
        <v>200</v>
      </c>
      <c r="D44">
        <v>50</v>
      </c>
    </row>
    <row r="45" spans="2:12" x14ac:dyDescent="0.25">
      <c r="B45" s="7" t="s">
        <v>110</v>
      </c>
      <c r="C45">
        <v>75</v>
      </c>
      <c r="D45">
        <v>15</v>
      </c>
    </row>
    <row r="46" spans="2:12" x14ac:dyDescent="0.25">
      <c r="B46" s="7" t="s">
        <v>148</v>
      </c>
      <c r="C46">
        <v>50</v>
      </c>
      <c r="D46">
        <v>15</v>
      </c>
    </row>
    <row r="47" spans="2:12" x14ac:dyDescent="0.25">
      <c r="B47" s="7" t="s">
        <v>85</v>
      </c>
      <c r="C47">
        <v>25</v>
      </c>
      <c r="D47">
        <v>10</v>
      </c>
    </row>
    <row r="48" spans="2:12" x14ac:dyDescent="0.25">
      <c r="B48" s="7" t="s">
        <v>168</v>
      </c>
      <c r="C48">
        <v>150</v>
      </c>
      <c r="D48">
        <v>60</v>
      </c>
    </row>
    <row r="49" spans="2:4" x14ac:dyDescent="0.25">
      <c r="B49" s="6" t="s">
        <v>128</v>
      </c>
      <c r="C49">
        <v>575</v>
      </c>
      <c r="D49">
        <v>120</v>
      </c>
    </row>
    <row r="50" spans="2:4" x14ac:dyDescent="0.25">
      <c r="B50" s="7" t="s">
        <v>156</v>
      </c>
      <c r="C50">
        <v>120</v>
      </c>
      <c r="D50">
        <v>25</v>
      </c>
    </row>
    <row r="51" spans="2:4" x14ac:dyDescent="0.25">
      <c r="B51" s="7" t="s">
        <v>199</v>
      </c>
      <c r="C51">
        <v>25</v>
      </c>
      <c r="D51">
        <v>10</v>
      </c>
    </row>
    <row r="52" spans="2:4" x14ac:dyDescent="0.25">
      <c r="B52" s="7" t="s">
        <v>129</v>
      </c>
      <c r="C52">
        <v>250</v>
      </c>
      <c r="D52">
        <v>50</v>
      </c>
    </row>
    <row r="53" spans="2:4" x14ac:dyDescent="0.25">
      <c r="B53" s="7" t="s">
        <v>178</v>
      </c>
      <c r="C53">
        <v>180</v>
      </c>
      <c r="D53">
        <v>35</v>
      </c>
    </row>
    <row r="54" spans="2:4" x14ac:dyDescent="0.25">
      <c r="B54" s="6" t="s">
        <v>211</v>
      </c>
      <c r="C54">
        <v>6620</v>
      </c>
      <c r="D54">
        <v>1403</v>
      </c>
    </row>
  </sheetData>
  <sortState xmlns:xlrd2="http://schemas.microsoft.com/office/spreadsheetml/2017/richdata2" ref="I5">
    <sortCondition ref="I5"/>
  </sortState>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42FE0-39BF-468E-BCF4-469BC8211532}">
  <sheetPr codeName="Sheet4"/>
  <dimension ref="A1:Y55"/>
  <sheetViews>
    <sheetView topLeftCell="B1" workbookViewId="0">
      <selection activeCell="B2" sqref="B2:N5"/>
    </sheetView>
  </sheetViews>
  <sheetFormatPr defaultRowHeight="15" x14ac:dyDescent="0.25"/>
  <cols>
    <col min="2" max="2" width="12.7109375" customWidth="1"/>
    <col min="3" max="7" width="11" customWidth="1"/>
    <col min="8" max="8" width="12" customWidth="1"/>
    <col min="9" max="9" width="18.140625" bestFit="1" customWidth="1"/>
    <col min="10" max="10" width="12.140625" bestFit="1" customWidth="1"/>
    <col min="11" max="11" width="14.7109375" customWidth="1"/>
    <col min="12" max="12" width="13.28515625" customWidth="1"/>
    <col min="13" max="13" width="12.28515625" customWidth="1"/>
    <col min="14" max="14" width="13.140625" bestFit="1" customWidth="1"/>
    <col min="15" max="15" width="7.5703125" customWidth="1"/>
    <col min="16" max="16" width="22.85546875" customWidth="1"/>
    <col min="17" max="17" width="9" customWidth="1"/>
    <col min="18" max="18" width="16.28515625" hidden="1" customWidth="1"/>
    <col min="19" max="19" width="23.5703125" hidden="1" customWidth="1"/>
    <col min="20" max="20" width="6.7109375" hidden="1" customWidth="1"/>
    <col min="21" max="21" width="13.140625" bestFit="1" customWidth="1"/>
    <col min="22" max="22" width="23.7109375" customWidth="1"/>
    <col min="23" max="23" width="6.7109375" customWidth="1"/>
    <col min="24" max="24" width="13.5703125" bestFit="1" customWidth="1"/>
    <col min="25" max="25" width="20.85546875" bestFit="1" customWidth="1"/>
  </cols>
  <sheetData>
    <row r="1" spans="1:25" x14ac:dyDescent="0.25">
      <c r="A1" s="19" t="s">
        <v>228</v>
      </c>
    </row>
    <row r="2" spans="1:25" ht="15.75" x14ac:dyDescent="0.25">
      <c r="A2" s="20" t="s">
        <v>221</v>
      </c>
      <c r="B2" s="21"/>
      <c r="C2" s="1"/>
      <c r="D2" s="1"/>
      <c r="E2" s="1"/>
      <c r="F2" s="1"/>
      <c r="G2" s="1"/>
      <c r="H2" s="1"/>
      <c r="I2" s="1"/>
      <c r="J2" s="1"/>
      <c r="K2" s="1"/>
      <c r="L2" s="1"/>
      <c r="M2" s="1"/>
      <c r="N2" s="1"/>
    </row>
    <row r="3" spans="1:25" ht="15.75" x14ac:dyDescent="0.25">
      <c r="A3" s="20" t="s">
        <v>225</v>
      </c>
      <c r="B3" s="21"/>
      <c r="C3" s="1"/>
      <c r="D3" s="1"/>
      <c r="E3" s="1"/>
      <c r="F3" s="1"/>
      <c r="G3" s="1"/>
      <c r="H3" s="1"/>
      <c r="I3" s="1"/>
      <c r="J3" s="1"/>
      <c r="K3" s="1"/>
      <c r="L3" s="1"/>
      <c r="M3" s="1"/>
      <c r="N3" s="1"/>
    </row>
    <row r="4" spans="1:25" ht="15.75" x14ac:dyDescent="0.25">
      <c r="A4" s="20" t="s">
        <v>226</v>
      </c>
      <c r="B4" s="1"/>
      <c r="C4" s="1"/>
      <c r="D4" s="1"/>
      <c r="E4" s="1"/>
      <c r="F4" s="1"/>
      <c r="G4" s="1"/>
      <c r="H4" s="1"/>
      <c r="I4" s="1"/>
      <c r="J4" s="1"/>
      <c r="K4" s="1"/>
      <c r="L4" s="1"/>
      <c r="M4" s="1"/>
      <c r="N4" s="1"/>
    </row>
    <row r="5" spans="1:25" ht="15.75" x14ac:dyDescent="0.25">
      <c r="A5" s="21" t="s">
        <v>227</v>
      </c>
      <c r="B5" s="1"/>
      <c r="C5" s="1"/>
      <c r="D5" s="1"/>
      <c r="E5" s="1"/>
      <c r="F5" s="1"/>
      <c r="G5" s="1"/>
      <c r="H5" s="1"/>
      <c r="I5" s="1"/>
      <c r="J5" s="1"/>
      <c r="K5" s="1"/>
      <c r="L5" s="1"/>
      <c r="M5" s="1"/>
      <c r="N5" s="1"/>
    </row>
    <row r="11" spans="1:25" x14ac:dyDescent="0.25">
      <c r="B11" s="15" t="s">
        <v>222</v>
      </c>
      <c r="C11" s="15" t="s">
        <v>46</v>
      </c>
      <c r="D11" s="15" t="s">
        <v>53</v>
      </c>
      <c r="E11" s="15" t="s">
        <v>54</v>
      </c>
      <c r="F11" s="15" t="s">
        <v>49</v>
      </c>
      <c r="G11" s="15" t="s">
        <v>69</v>
      </c>
      <c r="H11" s="15" t="s">
        <v>52</v>
      </c>
      <c r="I11" s="15" t="s">
        <v>59</v>
      </c>
      <c r="J11" s="15" t="s">
        <v>58</v>
      </c>
      <c r="K11" s="16" t="s">
        <v>223</v>
      </c>
      <c r="L11" s="17" t="s">
        <v>224</v>
      </c>
      <c r="M11" s="22" t="s">
        <v>233</v>
      </c>
      <c r="N11" s="22" t="s">
        <v>234</v>
      </c>
      <c r="O11" s="22" t="s">
        <v>235</v>
      </c>
      <c r="P11" s="22" t="s">
        <v>236</v>
      </c>
      <c r="U11" s="5" t="s">
        <v>223</v>
      </c>
      <c r="V11" t="s">
        <v>232</v>
      </c>
      <c r="X11" s="5" t="s">
        <v>224</v>
      </c>
      <c r="Y11" t="s">
        <v>231</v>
      </c>
    </row>
    <row r="12" spans="1:25" x14ac:dyDescent="0.25">
      <c r="B12" s="11" t="s">
        <v>71</v>
      </c>
      <c r="C12" s="2">
        <v>44566</v>
      </c>
      <c r="D12" s="11">
        <v>1200</v>
      </c>
      <c r="E12">
        <v>1</v>
      </c>
      <c r="F12">
        <v>28</v>
      </c>
      <c r="G12">
        <v>5</v>
      </c>
      <c r="H12" t="s">
        <v>74</v>
      </c>
      <c r="I12" s="2">
        <v>44531</v>
      </c>
      <c r="J12" t="s">
        <v>77</v>
      </c>
      <c r="K12" s="12" t="str">
        <f>IF('IF''S'!$D12&gt;150,"High Value","standard Value")</f>
        <v>High Value</v>
      </c>
      <c r="L12" s="18" t="b">
        <f>SUMIF(Table7[[#This Row],[Channel]],"online")=COUNTIF(Table7[[#This Row],[Channel]],"offline")</f>
        <v>1</v>
      </c>
      <c r="M12">
        <f t="shared" ref="M12:M55" si="0">DATEDIF(I12,C12,"M")</f>
        <v>1</v>
      </c>
      <c r="N12" t="str">
        <f>IF(AND(Table7[[#This Row],[Age]]&gt;=30, Table7[[#This Row],[Age]]&lt;=40), "30-40", "Other")</f>
        <v>Other</v>
      </c>
      <c r="O12">
        <f>SUMIFS(Table7[[#This Row],[Frequency of Purchase]],Table7[[#This Row],[Task-7.1]], "30-40", Table7[[#This Row],[Category]], "Apparel")</f>
        <v>0</v>
      </c>
      <c r="P12" t="e">
        <f>SUMIFS(Table7[[#This Row],[Frequency of Purchase]], Table7[[#This Row],[Task-7.1]], "30-40",Table7[[#This Row],[Category]], "Apparel") / COUNTIFS(Table7[[#This Row],[Task-7.1]], "30-40", Table7[[#This Row],[Category]], "Apparel")</f>
        <v>#DIV/0!</v>
      </c>
      <c r="U12" s="6" t="s">
        <v>229</v>
      </c>
      <c r="V12">
        <v>11</v>
      </c>
      <c r="X12" s="6" t="s">
        <v>89</v>
      </c>
      <c r="Y12">
        <v>16</v>
      </c>
    </row>
    <row r="13" spans="1:25" x14ac:dyDescent="0.25">
      <c r="B13" s="13" t="s">
        <v>83</v>
      </c>
      <c r="C13" s="2">
        <v>44566</v>
      </c>
      <c r="D13" s="13">
        <v>25</v>
      </c>
      <c r="E13">
        <v>2</v>
      </c>
      <c r="F13">
        <v>35</v>
      </c>
      <c r="G13">
        <v>3</v>
      </c>
      <c r="H13" t="s">
        <v>86</v>
      </c>
      <c r="I13" s="2">
        <v>44510</v>
      </c>
      <c r="J13" t="s">
        <v>89</v>
      </c>
      <c r="K13" s="14" t="str">
        <f>IF('IF''S'!$D13&gt;150,"High Value","standard Value")</f>
        <v>standard Value</v>
      </c>
      <c r="L13" t="b">
        <f>SUMIF(Table7[[#This Row],[Channel]],"online")=COUNTIF(Table7[[#This Row],[Channel]],"offline")</f>
        <v>0</v>
      </c>
      <c r="M13">
        <f t="shared" si="0"/>
        <v>1</v>
      </c>
      <c r="N13" t="str">
        <f>IF(AND(Table7[[#This Row],[Age]]&gt;=30, Table7[[#This Row],[Age]]&lt;=40), "30-40", "Other")</f>
        <v>30-40</v>
      </c>
      <c r="O13">
        <f>SUMIFS(Table7[[#This Row],[Frequency of Purchase]],Table7[[#This Row],[Task-7.1]], "30-40", Table7[[#This Row],[Category]], "Apparel")</f>
        <v>3</v>
      </c>
      <c r="P13" s="54">
        <f>SUMIFS(Table7[[#This Row],[Frequency of Purchase]], Table7[[#This Row],[Task-7.1]], "30-40",Table7[[#This Row],[Category]], "Apparel") / COUNTIFS(Table7[[#This Row],[Task-7.1]], "30-40", Table7[[#This Row],[Category]], "Apparel")</f>
        <v>3</v>
      </c>
      <c r="U13" s="7" t="s">
        <v>89</v>
      </c>
      <c r="V13">
        <v>2</v>
      </c>
      <c r="X13" s="6" t="s">
        <v>77</v>
      </c>
      <c r="Y13">
        <v>39</v>
      </c>
    </row>
    <row r="14" spans="1:25" x14ac:dyDescent="0.25">
      <c r="B14" s="11" t="s">
        <v>95</v>
      </c>
      <c r="C14" s="2">
        <v>44567</v>
      </c>
      <c r="D14" s="11">
        <v>150</v>
      </c>
      <c r="E14">
        <v>1</v>
      </c>
      <c r="F14">
        <v>42</v>
      </c>
      <c r="G14">
        <v>7</v>
      </c>
      <c r="H14" t="s">
        <v>74</v>
      </c>
      <c r="I14" s="2">
        <v>44550</v>
      </c>
      <c r="J14" t="s">
        <v>77</v>
      </c>
      <c r="K14" s="14" t="str">
        <f>IF('IF''S'!$D14&gt;150,"High Value","standard Value")</f>
        <v>standard Value</v>
      </c>
      <c r="L14" s="18" t="b">
        <f>SUMIF(Table7[[#This Row],[Channel]],"online")=COUNTIF(Table7[[#This Row],[Channel]],"offline")</f>
        <v>1</v>
      </c>
      <c r="M14">
        <f t="shared" si="0"/>
        <v>0</v>
      </c>
      <c r="N14" t="str">
        <f>IF(AND(Table7[[#This Row],[Age]]&gt;=30, Table7[[#This Row],[Age]]&lt;=40), "30-40", "Other")</f>
        <v>Other</v>
      </c>
      <c r="O14">
        <f>SUMIFS(Table7[[#This Row],[Frequency of Purchase]],Table7[[#This Row],[Task-7.1]], "30-40", Table7[[#This Row],[Category]], "Apparel")</f>
        <v>0</v>
      </c>
      <c r="P14" t="e">
        <f>SUMIFS(Table7[[#This Row],[Frequency of Purchase]], Table7[[#This Row],[Task-7.1]], "30-40",Table7[[#This Row],[Category]], "Apparel") / COUNTIFS(Table7[[#This Row],[Task-7.1]], "30-40", Table7[[#This Row],[Category]], "Apparel")</f>
        <v>#DIV/0!</v>
      </c>
      <c r="U14" s="7" t="s">
        <v>77</v>
      </c>
      <c r="V14">
        <v>9</v>
      </c>
      <c r="X14" s="6" t="s">
        <v>211</v>
      </c>
      <c r="Y14">
        <v>55</v>
      </c>
    </row>
    <row r="15" spans="1:25" x14ac:dyDescent="0.25">
      <c r="B15" s="13" t="s">
        <v>71</v>
      </c>
      <c r="C15" s="2">
        <v>44568</v>
      </c>
      <c r="D15" s="13">
        <v>30</v>
      </c>
      <c r="E15">
        <v>1</v>
      </c>
      <c r="F15">
        <v>28</v>
      </c>
      <c r="G15">
        <v>5</v>
      </c>
      <c r="H15" t="s">
        <v>74</v>
      </c>
      <c r="I15" s="2">
        <v>44531</v>
      </c>
      <c r="J15" t="s">
        <v>77</v>
      </c>
      <c r="K15" s="14" t="str">
        <f>IF('IF''S'!$D15&gt;150,"High Value","standard Value")</f>
        <v>standard Value</v>
      </c>
      <c r="L15" s="18" t="b">
        <f>SUMIF(Table7[[#This Row],[Channel]],"online")=COUNTIF(Table7[[#This Row],[Channel]],"offline")</f>
        <v>1</v>
      </c>
      <c r="M15">
        <f t="shared" si="0"/>
        <v>1</v>
      </c>
      <c r="N15" t="str">
        <f>IF(AND(Table7[[#This Row],[Age]]&gt;=30, Table7[[#This Row],[Age]]&lt;=40), "30-40", "Other")</f>
        <v>Other</v>
      </c>
      <c r="O15">
        <f>SUMIFS(Table7[[#This Row],[Frequency of Purchase]],Table7[[#This Row],[Task-7.1]], "30-40", Table7[[#This Row],[Category]], "Apparel")</f>
        <v>0</v>
      </c>
      <c r="P15" t="e">
        <f>SUMIFS(Table7[[#This Row],[Frequency of Purchase]], Table7[[#This Row],[Task-7.1]], "30-40",Table7[[#This Row],[Category]], "Apparel") / COUNTIFS(Table7[[#This Row],[Task-7.1]], "30-40", Table7[[#This Row],[Category]], "Apparel")</f>
        <v>#DIV/0!</v>
      </c>
      <c r="R15" s="10"/>
      <c r="U15" s="6" t="s">
        <v>230</v>
      </c>
      <c r="V15">
        <v>33</v>
      </c>
    </row>
    <row r="16" spans="1:25" x14ac:dyDescent="0.25">
      <c r="B16" s="11" t="s">
        <v>104</v>
      </c>
      <c r="C16" s="2">
        <v>44569</v>
      </c>
      <c r="D16" s="11">
        <v>60</v>
      </c>
      <c r="E16">
        <v>1</v>
      </c>
      <c r="F16">
        <v>30</v>
      </c>
      <c r="G16">
        <v>2</v>
      </c>
      <c r="H16" t="s">
        <v>86</v>
      </c>
      <c r="I16" s="2">
        <v>44562</v>
      </c>
      <c r="J16" t="s">
        <v>89</v>
      </c>
      <c r="K16" s="12" t="str">
        <f>IF('IF''S'!$D16&gt;150,"High Value","standard Value")</f>
        <v>standard Value</v>
      </c>
      <c r="L16" s="18" t="b">
        <f>SUMIF(Table7[[#This Row],[Channel]],"online")=COUNTIF(Table7[[#This Row],[Channel]],"offline")</f>
        <v>0</v>
      </c>
      <c r="M16">
        <f t="shared" si="0"/>
        <v>0</v>
      </c>
      <c r="N16" t="str">
        <f>IF(AND(Table7[[#This Row],[Age]]&gt;=30, Table7[[#This Row],[Age]]&lt;=40), "30-40", "Other")</f>
        <v>30-40</v>
      </c>
      <c r="O16">
        <f>SUMIFS(Table7[[#This Row],[Frequency of Purchase]],Table7[[#This Row],[Task-7.1]], "30-40", Table7[[#This Row],[Category]], "Apparel")</f>
        <v>2</v>
      </c>
      <c r="P16" s="54">
        <f>SUMIFS(Table7[[#This Row],[Frequency of Purchase]], Table7[[#This Row],[Task-7.1]], "30-40",Table7[[#This Row],[Category]], "Apparel") / COUNTIFS(Table7[[#This Row],[Task-7.1]], "30-40", Table7[[#This Row],[Category]], "Apparel")</f>
        <v>2</v>
      </c>
      <c r="U16" s="7" t="s">
        <v>89</v>
      </c>
      <c r="V16">
        <v>9</v>
      </c>
    </row>
    <row r="17" spans="2:22" x14ac:dyDescent="0.25">
      <c r="B17" s="13" t="s">
        <v>83</v>
      </c>
      <c r="C17" s="2">
        <v>44602</v>
      </c>
      <c r="D17" s="13">
        <v>75</v>
      </c>
      <c r="E17">
        <v>1</v>
      </c>
      <c r="F17">
        <v>35</v>
      </c>
      <c r="G17">
        <v>3</v>
      </c>
      <c r="H17" t="s">
        <v>74</v>
      </c>
      <c r="I17" s="2">
        <v>44510</v>
      </c>
      <c r="J17" t="s">
        <v>77</v>
      </c>
      <c r="K17" s="12" t="str">
        <f>IF('IF''S'!$D17&gt;150,"High Value","standard Value")</f>
        <v>standard Value</v>
      </c>
      <c r="L17" t="b">
        <f>SUMIF(Table7[[#This Row],[Channel]],"online")=COUNTIF(Table7[[#This Row],[Channel]],"offline")</f>
        <v>1</v>
      </c>
      <c r="M17">
        <f t="shared" si="0"/>
        <v>3</v>
      </c>
      <c r="N17" t="str">
        <f>IF(AND(Table7[[#This Row],[Age]]&gt;=30, Table7[[#This Row],[Age]]&lt;=40), "30-40", "Other")</f>
        <v>30-40</v>
      </c>
      <c r="O17">
        <f>SUMIFS(Table7[[#This Row],[Frequency of Purchase]],Table7[[#This Row],[Task-7.1]], "30-40", Table7[[#This Row],[Category]], "Apparel")</f>
        <v>0</v>
      </c>
      <c r="P17" t="e">
        <f>SUMIFS(Table7[[#This Row],[Frequency of Purchase]], Table7[[#This Row],[Task-7.1]], "30-40",Table7[[#This Row],[Category]], "Apparel") / COUNTIFS(Table7[[#This Row],[Task-7.1]], "30-40", Table7[[#This Row],[Category]], "Apparel")</f>
        <v>#DIV/0!</v>
      </c>
      <c r="U17" s="7" t="s">
        <v>77</v>
      </c>
      <c r="V17">
        <v>24</v>
      </c>
    </row>
    <row r="18" spans="2:22" x14ac:dyDescent="0.25">
      <c r="B18" s="11" t="s">
        <v>113</v>
      </c>
      <c r="C18" s="2">
        <v>44604</v>
      </c>
      <c r="D18" s="11">
        <v>100</v>
      </c>
      <c r="E18">
        <v>1</v>
      </c>
      <c r="F18">
        <v>25</v>
      </c>
      <c r="G18">
        <v>4</v>
      </c>
      <c r="H18" t="s">
        <v>86</v>
      </c>
      <c r="I18" s="2">
        <v>44566</v>
      </c>
      <c r="J18" t="s">
        <v>77</v>
      </c>
      <c r="K18" s="12" t="str">
        <f>IF('IF''S'!$D18&gt;150,"High Value","standard Value")</f>
        <v>standard Value</v>
      </c>
      <c r="L18" s="18" t="b">
        <f>SUMIF(Table7[[#This Row],[Channel]],"online")=COUNTIF(Table7[[#This Row],[Channel]],"offline")</f>
        <v>1</v>
      </c>
      <c r="M18">
        <f t="shared" si="0"/>
        <v>1</v>
      </c>
      <c r="N18" t="str">
        <f>IF(AND(Table7[[#This Row],[Age]]&gt;=30, Table7[[#This Row],[Age]]&lt;=40), "30-40", "Other")</f>
        <v>Other</v>
      </c>
      <c r="O18">
        <f>SUMIFS(Table7[[#This Row],[Frequency of Purchase]],Table7[[#This Row],[Task-7.1]], "30-40", Table7[[#This Row],[Category]], "Apparel")</f>
        <v>0</v>
      </c>
      <c r="P18" t="e">
        <f>SUMIFS(Table7[[#This Row],[Frequency of Purchase]], Table7[[#This Row],[Task-7.1]], "30-40",Table7[[#This Row],[Category]], "Apparel") / COUNTIFS(Table7[[#This Row],[Task-7.1]], "30-40", Table7[[#This Row],[Category]], "Apparel")</f>
        <v>#DIV/0!</v>
      </c>
      <c r="U18" s="6" t="s">
        <v>211</v>
      </c>
      <c r="V18">
        <v>44</v>
      </c>
    </row>
    <row r="19" spans="2:22" x14ac:dyDescent="0.25">
      <c r="B19" s="13" t="s">
        <v>95</v>
      </c>
      <c r="C19" s="2">
        <v>44621</v>
      </c>
      <c r="D19" s="13">
        <v>300</v>
      </c>
      <c r="E19">
        <v>1</v>
      </c>
      <c r="F19">
        <v>42</v>
      </c>
      <c r="G19">
        <v>7</v>
      </c>
      <c r="H19" t="s">
        <v>74</v>
      </c>
      <c r="I19" s="2">
        <v>44550</v>
      </c>
      <c r="J19" t="s">
        <v>89</v>
      </c>
      <c r="K19" s="12" t="str">
        <f>IF('IF''S'!$D19&gt;150,"High Value","standard Value")</f>
        <v>High Value</v>
      </c>
      <c r="L19" t="b">
        <f>SUMIF(Table7[[#This Row],[Channel]],"online")=COUNTIF(Table7[[#This Row],[Channel]],"offline")</f>
        <v>0</v>
      </c>
      <c r="M19">
        <f t="shared" si="0"/>
        <v>2</v>
      </c>
      <c r="N19" t="str">
        <f>IF(AND(Table7[[#This Row],[Age]]&gt;=30, Table7[[#This Row],[Age]]&lt;=40), "30-40", "Other")</f>
        <v>Other</v>
      </c>
      <c r="O19">
        <f>SUMIFS(Table7[[#This Row],[Frequency of Purchase]],Table7[[#This Row],[Task-7.1]], "30-40", Table7[[#This Row],[Category]], "Apparel")</f>
        <v>0</v>
      </c>
      <c r="P19" t="e">
        <f>SUMIFS(Table7[[#This Row],[Frequency of Purchase]], Table7[[#This Row],[Task-7.1]], "30-40",Table7[[#This Row],[Category]], "Apparel") / COUNTIFS(Table7[[#This Row],[Task-7.1]], "30-40", Table7[[#This Row],[Category]], "Apparel")</f>
        <v>#DIV/0!</v>
      </c>
    </row>
    <row r="20" spans="2:22" x14ac:dyDescent="0.25">
      <c r="B20" s="11" t="s">
        <v>71</v>
      </c>
      <c r="C20" s="2">
        <v>44625</v>
      </c>
      <c r="D20" s="11">
        <v>45</v>
      </c>
      <c r="E20">
        <v>1</v>
      </c>
      <c r="F20">
        <v>28</v>
      </c>
      <c r="G20">
        <v>5</v>
      </c>
      <c r="H20" t="s">
        <v>74</v>
      </c>
      <c r="I20" s="2">
        <v>44531</v>
      </c>
      <c r="J20" t="s">
        <v>77</v>
      </c>
      <c r="K20" s="12" t="str">
        <f>IF('IF''S'!$D20&gt;150,"High Value","standard Value")</f>
        <v>standard Value</v>
      </c>
      <c r="L20" s="18" t="b">
        <f>SUMIF(Table7[[#This Row],[Channel]],"online")=COUNTIF(Table7[[#This Row],[Channel]],"offline")</f>
        <v>1</v>
      </c>
      <c r="M20">
        <f t="shared" si="0"/>
        <v>3</v>
      </c>
      <c r="N20" t="str">
        <f>IF(AND(Table7[[#This Row],[Age]]&gt;=30, Table7[[#This Row],[Age]]&lt;=40), "30-40", "Other")</f>
        <v>Other</v>
      </c>
      <c r="O20">
        <f>SUMIFS(Table7[[#This Row],[Frequency of Purchase]],Table7[[#This Row],[Task-7.1]], "30-40", Table7[[#This Row],[Category]], "Apparel")</f>
        <v>0</v>
      </c>
      <c r="P20" t="e">
        <f>SUMIFS(Table7[[#This Row],[Frequency of Purchase]], Table7[[#This Row],[Task-7.1]], "30-40",Table7[[#This Row],[Category]], "Apparel") / COUNTIFS(Table7[[#This Row],[Task-7.1]], "30-40", Table7[[#This Row],[Category]], "Apparel")</f>
        <v>#DIV/0!</v>
      </c>
    </row>
    <row r="21" spans="2:22" x14ac:dyDescent="0.25">
      <c r="B21" s="13" t="s">
        <v>121</v>
      </c>
      <c r="C21" s="2">
        <v>44666</v>
      </c>
      <c r="D21" s="13">
        <v>80</v>
      </c>
      <c r="E21">
        <v>1</v>
      </c>
      <c r="F21">
        <v>38</v>
      </c>
      <c r="G21">
        <v>2</v>
      </c>
      <c r="H21" t="s">
        <v>123</v>
      </c>
      <c r="I21" s="2">
        <v>44569</v>
      </c>
      <c r="J21" t="s">
        <v>77</v>
      </c>
      <c r="K21" s="12" t="str">
        <f>IF('IF''S'!$D21&gt;150,"High Value","standard Value")</f>
        <v>standard Value</v>
      </c>
      <c r="L21" t="b">
        <f>SUMIF(Table7[[#This Row],[Channel]],"online")=COUNTIF(Table7[[#This Row],[Channel]],"offline")</f>
        <v>1</v>
      </c>
      <c r="M21">
        <f t="shared" si="0"/>
        <v>3</v>
      </c>
      <c r="N21" t="str">
        <f>IF(AND(Table7[[#This Row],[Age]]&gt;=30, Table7[[#This Row],[Age]]&lt;=40), "30-40", "Other")</f>
        <v>30-40</v>
      </c>
      <c r="O21">
        <f>SUMIFS(Table7[[#This Row],[Frequency of Purchase]],Table7[[#This Row],[Task-7.1]], "30-40", Table7[[#This Row],[Category]], "Apparel")</f>
        <v>0</v>
      </c>
      <c r="P21" t="e">
        <f>SUMIFS(Table7[[#This Row],[Frequency of Purchase]], Table7[[#This Row],[Task-7.1]], "30-40",Table7[[#This Row],[Category]], "Apparel") / COUNTIFS(Table7[[#This Row],[Task-7.1]], "30-40", Table7[[#This Row],[Category]], "Apparel")</f>
        <v>#DIV/0!</v>
      </c>
    </row>
    <row r="22" spans="2:22" x14ac:dyDescent="0.25">
      <c r="B22" s="11" t="s">
        <v>104</v>
      </c>
      <c r="C22" s="2">
        <v>44701</v>
      </c>
      <c r="D22" s="11">
        <v>10</v>
      </c>
      <c r="E22">
        <v>3</v>
      </c>
      <c r="F22">
        <v>30</v>
      </c>
      <c r="G22">
        <v>2</v>
      </c>
      <c r="H22" t="s">
        <v>86</v>
      </c>
      <c r="I22" s="2">
        <v>44562</v>
      </c>
      <c r="J22" t="s">
        <v>89</v>
      </c>
      <c r="K22" s="12" t="str">
        <f>IF('IF''S'!$D22&gt;150,"High Value","standard Value")</f>
        <v>standard Value</v>
      </c>
      <c r="L22" s="18" t="b">
        <f>SUMIF(Table7[[#This Row],[Channel]],"online")=COUNTIF(Table7[[#This Row],[Channel]],"offline")</f>
        <v>0</v>
      </c>
      <c r="M22">
        <f t="shared" si="0"/>
        <v>4</v>
      </c>
      <c r="N22" t="str">
        <f>IF(AND(Table7[[#This Row],[Age]]&gt;=30, Table7[[#This Row],[Age]]&lt;=40), "30-40", "Other")</f>
        <v>30-40</v>
      </c>
      <c r="O22">
        <f>SUMIFS(Table7[[#This Row],[Frequency of Purchase]],Table7[[#This Row],[Task-7.1]], "30-40", Table7[[#This Row],[Category]], "Apparel")</f>
        <v>2</v>
      </c>
      <c r="P22" s="54">
        <f>SUMIFS(Table7[[#This Row],[Frequency of Purchase]], Table7[[#This Row],[Task-7.1]], "30-40",Table7[[#This Row],[Category]], "Apparel") / COUNTIFS(Table7[[#This Row],[Task-7.1]], "30-40", Table7[[#This Row],[Category]], "Apparel")</f>
        <v>2</v>
      </c>
    </row>
    <row r="23" spans="2:22" x14ac:dyDescent="0.25">
      <c r="B23" s="13" t="s">
        <v>128</v>
      </c>
      <c r="C23" s="2">
        <v>44713</v>
      </c>
      <c r="D23" s="13">
        <v>250</v>
      </c>
      <c r="E23">
        <v>1</v>
      </c>
      <c r="F23">
        <v>31</v>
      </c>
      <c r="G23">
        <v>6</v>
      </c>
      <c r="H23" t="s">
        <v>74</v>
      </c>
      <c r="I23" s="2">
        <v>44571</v>
      </c>
      <c r="J23" t="s">
        <v>77</v>
      </c>
      <c r="K23" s="12" t="str">
        <f>IF('IF''S'!$D23&gt;150,"High Value","standard Value")</f>
        <v>High Value</v>
      </c>
      <c r="L23" t="b">
        <f>SUMIF(Table7[[#This Row],[Channel]],"online")=COUNTIF(Table7[[#This Row],[Channel]],"offline")</f>
        <v>1</v>
      </c>
      <c r="M23">
        <f t="shared" si="0"/>
        <v>4</v>
      </c>
      <c r="N23" t="str">
        <f>IF(AND(Table7[[#This Row],[Age]]&gt;=30, Table7[[#This Row],[Age]]&lt;=40), "30-40", "Other")</f>
        <v>30-40</v>
      </c>
      <c r="O23">
        <f>SUMIFS(Table7[[#This Row],[Frequency of Purchase]],Table7[[#This Row],[Task-7.1]], "30-40", Table7[[#This Row],[Category]], "Apparel")</f>
        <v>0</v>
      </c>
      <c r="P23" t="e">
        <f>SUMIFS(Table7[[#This Row],[Frequency of Purchase]], Table7[[#This Row],[Task-7.1]], "30-40",Table7[[#This Row],[Category]], "Apparel") / COUNTIFS(Table7[[#This Row],[Task-7.1]], "30-40", Table7[[#This Row],[Category]], "Apparel")</f>
        <v>#DIV/0!</v>
      </c>
    </row>
    <row r="24" spans="2:22" x14ac:dyDescent="0.25">
      <c r="B24" s="11" t="s">
        <v>113</v>
      </c>
      <c r="C24" s="2">
        <v>44747</v>
      </c>
      <c r="D24" s="11">
        <v>120</v>
      </c>
      <c r="E24">
        <v>1</v>
      </c>
      <c r="F24">
        <v>25</v>
      </c>
      <c r="G24">
        <v>4</v>
      </c>
      <c r="H24" t="s">
        <v>86</v>
      </c>
      <c r="I24" s="2">
        <v>44566</v>
      </c>
      <c r="J24" t="s">
        <v>77</v>
      </c>
      <c r="K24" s="12" t="str">
        <f>IF('IF''S'!$D24&gt;150,"High Value","standard Value")</f>
        <v>standard Value</v>
      </c>
      <c r="L24" s="18" t="b">
        <f>SUMIF(Table7[[#This Row],[Channel]],"online")=COUNTIF(Table7[[#This Row],[Channel]],"offline")</f>
        <v>1</v>
      </c>
      <c r="M24">
        <f t="shared" si="0"/>
        <v>6</v>
      </c>
      <c r="N24" t="str">
        <f>IF(AND(Table7[[#This Row],[Age]]&gt;=30, Table7[[#This Row],[Age]]&lt;=40), "30-40", "Other")</f>
        <v>Other</v>
      </c>
      <c r="O24">
        <f>SUMIFS(Table7[[#This Row],[Frequency of Purchase]],Table7[[#This Row],[Task-7.1]], "30-40", Table7[[#This Row],[Category]], "Apparel")</f>
        <v>0</v>
      </c>
      <c r="P24" t="e">
        <f>SUMIFS(Table7[[#This Row],[Frequency of Purchase]], Table7[[#This Row],[Task-7.1]], "30-40",Table7[[#This Row],[Category]], "Apparel") / COUNTIFS(Table7[[#This Row],[Task-7.1]], "30-40", Table7[[#This Row],[Category]], "Apparel")</f>
        <v>#DIV/0!</v>
      </c>
    </row>
    <row r="25" spans="2:22" x14ac:dyDescent="0.25">
      <c r="B25" s="13" t="s">
        <v>134</v>
      </c>
      <c r="C25" s="2">
        <v>44783</v>
      </c>
      <c r="D25" s="13">
        <v>70</v>
      </c>
      <c r="E25">
        <v>1</v>
      </c>
      <c r="F25">
        <v>45</v>
      </c>
      <c r="G25">
        <v>3</v>
      </c>
      <c r="H25" t="s">
        <v>136</v>
      </c>
      <c r="I25" s="2">
        <v>44573</v>
      </c>
      <c r="J25" t="s">
        <v>77</v>
      </c>
      <c r="K25" s="12" t="str">
        <f>IF('IF''S'!$D25&gt;150,"High Value","standard Value")</f>
        <v>standard Value</v>
      </c>
      <c r="L25" t="b">
        <f>SUMIF(Table7[[#This Row],[Channel]],"online")=COUNTIF(Table7[[#This Row],[Channel]],"offline")</f>
        <v>1</v>
      </c>
      <c r="M25">
        <f t="shared" si="0"/>
        <v>6</v>
      </c>
      <c r="N25" t="str">
        <f>IF(AND(Table7[[#This Row],[Age]]&gt;=30, Table7[[#This Row],[Age]]&lt;=40), "30-40", "Other")</f>
        <v>Other</v>
      </c>
      <c r="O25">
        <f>SUMIFS(Table7[[#This Row],[Frequency of Purchase]],Table7[[#This Row],[Task-7.1]], "30-40", Table7[[#This Row],[Category]], "Apparel")</f>
        <v>0</v>
      </c>
      <c r="P25" t="e">
        <f>SUMIFS(Table7[[#This Row],[Frequency of Purchase]], Table7[[#This Row],[Task-7.1]], "30-40",Table7[[#This Row],[Category]], "Apparel") / COUNTIFS(Table7[[#This Row],[Task-7.1]], "30-40", Table7[[#This Row],[Category]], "Apparel")</f>
        <v>#DIV/0!</v>
      </c>
    </row>
    <row r="26" spans="2:22" x14ac:dyDescent="0.25">
      <c r="B26" s="11" t="s">
        <v>139</v>
      </c>
      <c r="C26" s="2">
        <v>44819</v>
      </c>
      <c r="D26" s="11">
        <v>90</v>
      </c>
      <c r="E26">
        <v>1</v>
      </c>
      <c r="F26">
        <v>29</v>
      </c>
      <c r="G26">
        <v>2</v>
      </c>
      <c r="H26" t="s">
        <v>136</v>
      </c>
      <c r="I26" s="2">
        <v>44576</v>
      </c>
      <c r="J26" t="s">
        <v>89</v>
      </c>
      <c r="K26" s="12" t="str">
        <f>IF('IF''S'!$D26&gt;150,"High Value","standard Value")</f>
        <v>standard Value</v>
      </c>
      <c r="L26" s="18" t="b">
        <f>SUMIF(Table7[[#This Row],[Channel]],"online")=COUNTIF(Table7[[#This Row],[Channel]],"offline")</f>
        <v>0</v>
      </c>
      <c r="M26">
        <f t="shared" si="0"/>
        <v>8</v>
      </c>
      <c r="N26" t="str">
        <f>IF(AND(Table7[[#This Row],[Age]]&gt;=30, Table7[[#This Row],[Age]]&lt;=40), "30-40", "Other")</f>
        <v>Other</v>
      </c>
      <c r="O26">
        <f>SUMIFS(Table7[[#This Row],[Frequency of Purchase]],Table7[[#This Row],[Task-7.1]], "30-40", Table7[[#This Row],[Category]], "Apparel")</f>
        <v>0</v>
      </c>
      <c r="P26" t="e">
        <f>SUMIFS(Table7[[#This Row],[Frequency of Purchase]], Table7[[#This Row],[Task-7.1]], "30-40",Table7[[#This Row],[Category]], "Apparel") / COUNTIFS(Table7[[#This Row],[Task-7.1]], "30-40", Table7[[#This Row],[Category]], "Apparel")</f>
        <v>#DIV/0!</v>
      </c>
    </row>
    <row r="27" spans="2:22" x14ac:dyDescent="0.25">
      <c r="B27" s="13" t="s">
        <v>71</v>
      </c>
      <c r="C27" s="2">
        <v>44854</v>
      </c>
      <c r="D27" s="13">
        <v>80</v>
      </c>
      <c r="E27">
        <v>1</v>
      </c>
      <c r="F27">
        <v>28</v>
      </c>
      <c r="G27">
        <v>5</v>
      </c>
      <c r="H27" t="s">
        <v>74</v>
      </c>
      <c r="I27" s="2">
        <v>44531</v>
      </c>
      <c r="J27" t="s">
        <v>77</v>
      </c>
      <c r="K27" s="12" t="str">
        <f>IF('IF''S'!$D27&gt;150,"High Value","standard Value")</f>
        <v>standard Value</v>
      </c>
      <c r="L27" t="b">
        <f>SUMIF(Table7[[#This Row],[Channel]],"online")=COUNTIF(Table7[[#This Row],[Channel]],"offline")</f>
        <v>1</v>
      </c>
      <c r="M27">
        <f t="shared" si="0"/>
        <v>10</v>
      </c>
      <c r="N27" t="str">
        <f>IF(AND(Table7[[#This Row],[Age]]&gt;=30, Table7[[#This Row],[Age]]&lt;=40), "30-40", "Other")</f>
        <v>Other</v>
      </c>
      <c r="O27">
        <f>SUMIFS(Table7[[#This Row],[Frequency of Purchase]],Table7[[#This Row],[Task-7.1]], "30-40", Table7[[#This Row],[Category]], "Apparel")</f>
        <v>0</v>
      </c>
      <c r="P27" t="e">
        <f>SUMIFS(Table7[[#This Row],[Frequency of Purchase]], Table7[[#This Row],[Task-7.1]], "30-40",Table7[[#This Row],[Category]], "Apparel") / COUNTIFS(Table7[[#This Row],[Task-7.1]], "30-40", Table7[[#This Row],[Category]], "Apparel")</f>
        <v>#DIV/0!</v>
      </c>
    </row>
    <row r="28" spans="2:22" x14ac:dyDescent="0.25">
      <c r="B28" s="11" t="s">
        <v>145</v>
      </c>
      <c r="C28" s="2">
        <v>44866</v>
      </c>
      <c r="D28" s="11">
        <v>35</v>
      </c>
      <c r="E28">
        <v>1</v>
      </c>
      <c r="F28">
        <v>33</v>
      </c>
      <c r="G28">
        <v>4</v>
      </c>
      <c r="H28" t="s">
        <v>136</v>
      </c>
      <c r="I28" s="2">
        <v>44579</v>
      </c>
      <c r="J28" t="s">
        <v>77</v>
      </c>
      <c r="K28" s="12" t="str">
        <f>IF('IF''S'!$D28&gt;150,"High Value","standard Value")</f>
        <v>standard Value</v>
      </c>
      <c r="L28" s="18" t="b">
        <f>SUMIF(Table7[[#This Row],[Channel]],"online")=COUNTIF(Table7[[#This Row],[Channel]],"offline")</f>
        <v>1</v>
      </c>
      <c r="M28">
        <f t="shared" si="0"/>
        <v>9</v>
      </c>
      <c r="N28" t="str">
        <f>IF(AND(Table7[[#This Row],[Age]]&gt;=30, Table7[[#This Row],[Age]]&lt;=40), "30-40", "Other")</f>
        <v>30-40</v>
      </c>
      <c r="O28">
        <f>SUMIFS(Table7[[#This Row],[Frequency of Purchase]],Table7[[#This Row],[Task-7.1]], "30-40", Table7[[#This Row],[Category]], "Apparel")</f>
        <v>0</v>
      </c>
      <c r="P28" t="e">
        <f>SUMIFS(Table7[[#This Row],[Frequency of Purchase]], Table7[[#This Row],[Task-7.1]], "30-40",Table7[[#This Row],[Category]], "Apparel") / COUNTIFS(Table7[[#This Row],[Task-7.1]], "30-40", Table7[[#This Row],[Category]], "Apparel")</f>
        <v>#DIV/0!</v>
      </c>
    </row>
    <row r="29" spans="2:22" x14ac:dyDescent="0.25">
      <c r="B29" s="13" t="s">
        <v>83</v>
      </c>
      <c r="C29" s="2">
        <v>44900</v>
      </c>
      <c r="D29" s="13">
        <v>50</v>
      </c>
      <c r="E29">
        <v>1</v>
      </c>
      <c r="F29">
        <v>35</v>
      </c>
      <c r="G29">
        <v>3</v>
      </c>
      <c r="H29" t="s">
        <v>86</v>
      </c>
      <c r="I29" s="2">
        <v>44510</v>
      </c>
      <c r="J29" t="s">
        <v>77</v>
      </c>
      <c r="K29" s="12" t="str">
        <f>IF('IF''S'!$D29&gt;150,"High Value","standard Value")</f>
        <v>standard Value</v>
      </c>
      <c r="L29" t="b">
        <f>SUMIF(Table7[[#This Row],[Channel]],"online")=COUNTIF(Table7[[#This Row],[Channel]],"offline")</f>
        <v>1</v>
      </c>
      <c r="M29">
        <f t="shared" si="0"/>
        <v>12</v>
      </c>
      <c r="N29" t="str">
        <f>IF(AND(Table7[[#This Row],[Age]]&gt;=30, Table7[[#This Row],[Age]]&lt;=40), "30-40", "Other")</f>
        <v>30-40</v>
      </c>
      <c r="O29">
        <f>SUMIFS(Table7[[#This Row],[Frequency of Purchase]],Table7[[#This Row],[Task-7.1]], "30-40", Table7[[#This Row],[Category]], "Apparel")</f>
        <v>3</v>
      </c>
      <c r="P29" s="54">
        <f>SUMIFS(Table7[[#This Row],[Frequency of Purchase]], Table7[[#This Row],[Task-7.1]], "30-40",Table7[[#This Row],[Category]], "Apparel") / COUNTIFS(Table7[[#This Row],[Task-7.1]], "30-40", Table7[[#This Row],[Category]], "Apparel")</f>
        <v>3</v>
      </c>
    </row>
    <row r="30" spans="2:22" x14ac:dyDescent="0.25">
      <c r="B30" s="11" t="s">
        <v>95</v>
      </c>
      <c r="C30" s="2">
        <v>44931</v>
      </c>
      <c r="D30" s="11">
        <v>400</v>
      </c>
      <c r="E30">
        <v>1</v>
      </c>
      <c r="F30">
        <v>42</v>
      </c>
      <c r="G30">
        <v>7</v>
      </c>
      <c r="H30" t="s">
        <v>74</v>
      </c>
      <c r="I30" s="2">
        <v>44550</v>
      </c>
      <c r="J30" t="s">
        <v>77</v>
      </c>
      <c r="K30" s="12" t="str">
        <f>IF('IF''S'!$D30&gt;150,"High Value","standard Value")</f>
        <v>High Value</v>
      </c>
      <c r="L30" s="18" t="b">
        <f>SUMIF(Table7[[#This Row],[Channel]],"online")=COUNTIF(Table7[[#This Row],[Channel]],"offline")</f>
        <v>1</v>
      </c>
      <c r="M30">
        <f t="shared" si="0"/>
        <v>12</v>
      </c>
      <c r="N30" t="str">
        <f>IF(AND(Table7[[#This Row],[Age]]&gt;=30, Table7[[#This Row],[Age]]&lt;=40), "30-40", "Other")</f>
        <v>Other</v>
      </c>
      <c r="O30">
        <f>SUMIFS(Table7[[#This Row],[Frequency of Purchase]],Table7[[#This Row],[Task-7.1]], "30-40", Table7[[#This Row],[Category]], "Apparel")</f>
        <v>0</v>
      </c>
      <c r="P30" t="e">
        <f>SUMIFS(Table7[[#This Row],[Frequency of Purchase]], Table7[[#This Row],[Task-7.1]], "30-40",Table7[[#This Row],[Category]], "Apparel") / COUNTIFS(Table7[[#This Row],[Task-7.1]], "30-40", Table7[[#This Row],[Category]], "Apparel")</f>
        <v>#DIV/0!</v>
      </c>
    </row>
    <row r="31" spans="2:22" x14ac:dyDescent="0.25">
      <c r="B31" s="13" t="s">
        <v>121</v>
      </c>
      <c r="C31" s="2">
        <v>44949</v>
      </c>
      <c r="D31" s="13">
        <v>95</v>
      </c>
      <c r="E31">
        <v>1</v>
      </c>
      <c r="F31">
        <v>38</v>
      </c>
      <c r="G31">
        <v>2</v>
      </c>
      <c r="H31" t="s">
        <v>123</v>
      </c>
      <c r="I31" s="2">
        <v>44569</v>
      </c>
      <c r="J31" t="s">
        <v>89</v>
      </c>
      <c r="K31" s="12" t="str">
        <f>IF('IF''S'!$D31&gt;150,"High Value","standard Value")</f>
        <v>standard Value</v>
      </c>
      <c r="L31" t="b">
        <f>SUMIF(Table7[[#This Row],[Channel]],"online")=COUNTIF(Table7[[#This Row],[Channel]],"offline")</f>
        <v>0</v>
      </c>
      <c r="M31">
        <f t="shared" si="0"/>
        <v>12</v>
      </c>
      <c r="N31" t="str">
        <f>IF(AND(Table7[[#This Row],[Age]]&gt;=30, Table7[[#This Row],[Age]]&lt;=40), "30-40", "Other")</f>
        <v>30-40</v>
      </c>
      <c r="O31">
        <f>SUMIFS(Table7[[#This Row],[Frequency of Purchase]],Table7[[#This Row],[Task-7.1]], "30-40", Table7[[#This Row],[Category]], "Apparel")</f>
        <v>0</v>
      </c>
      <c r="P31" t="e">
        <f>SUMIFS(Table7[[#This Row],[Frequency of Purchase]], Table7[[#This Row],[Task-7.1]], "30-40",Table7[[#This Row],[Category]], "Apparel") / COUNTIFS(Table7[[#This Row],[Task-7.1]], "30-40", Table7[[#This Row],[Category]], "Apparel")</f>
        <v>#DIV/0!</v>
      </c>
    </row>
    <row r="32" spans="2:22" x14ac:dyDescent="0.25">
      <c r="B32" s="11" t="s">
        <v>71</v>
      </c>
      <c r="C32" s="2">
        <v>44967</v>
      </c>
      <c r="D32" s="11">
        <v>800</v>
      </c>
      <c r="E32">
        <v>1</v>
      </c>
      <c r="F32">
        <v>28</v>
      </c>
      <c r="G32">
        <v>5</v>
      </c>
      <c r="H32" t="s">
        <v>74</v>
      </c>
      <c r="I32" s="2">
        <v>44531</v>
      </c>
      <c r="J32" t="s">
        <v>77</v>
      </c>
      <c r="K32" s="12" t="str">
        <f>IF('IF''S'!$D32&gt;150,"High Value","standard Value")</f>
        <v>High Value</v>
      </c>
      <c r="L32" s="18" t="b">
        <f>SUMIF(Table7[[#This Row],[Channel]],"online")=COUNTIF(Table7[[#This Row],[Channel]],"offline")</f>
        <v>1</v>
      </c>
      <c r="M32">
        <f t="shared" si="0"/>
        <v>14</v>
      </c>
      <c r="N32" t="str">
        <f>IF(AND(Table7[[#This Row],[Age]]&gt;=30, Table7[[#This Row],[Age]]&lt;=40), "30-40", "Other")</f>
        <v>Other</v>
      </c>
      <c r="O32">
        <f>SUMIFS(Table7[[#This Row],[Frequency of Purchase]],Table7[[#This Row],[Task-7.1]], "30-40", Table7[[#This Row],[Category]], "Apparel")</f>
        <v>0</v>
      </c>
      <c r="P32" t="e">
        <f>SUMIFS(Table7[[#This Row],[Frequency of Purchase]], Table7[[#This Row],[Task-7.1]], "30-40",Table7[[#This Row],[Category]], "Apparel") / COUNTIFS(Table7[[#This Row],[Task-7.1]], "30-40", Table7[[#This Row],[Category]], "Apparel")</f>
        <v>#DIV/0!</v>
      </c>
    </row>
    <row r="33" spans="2:16" x14ac:dyDescent="0.25">
      <c r="B33" s="13" t="s">
        <v>128</v>
      </c>
      <c r="C33" s="2">
        <v>45000</v>
      </c>
      <c r="D33" s="13">
        <v>120</v>
      </c>
      <c r="E33">
        <v>1</v>
      </c>
      <c r="F33">
        <v>31</v>
      </c>
      <c r="G33">
        <v>6</v>
      </c>
      <c r="H33" t="s">
        <v>74</v>
      </c>
      <c r="I33" s="2">
        <v>44571</v>
      </c>
      <c r="J33" t="s">
        <v>77</v>
      </c>
      <c r="K33" s="12" t="str">
        <f>IF('IF''S'!$D33&gt;150,"High Value","standard Value")</f>
        <v>standard Value</v>
      </c>
      <c r="L33" t="b">
        <f>SUMIF(Table7[[#This Row],[Channel]],"online")=COUNTIF(Table7[[#This Row],[Channel]],"offline")</f>
        <v>1</v>
      </c>
      <c r="M33">
        <f t="shared" si="0"/>
        <v>14</v>
      </c>
      <c r="N33" t="str">
        <f>IF(AND(Table7[[#This Row],[Age]]&gt;=30, Table7[[#This Row],[Age]]&lt;=40), "30-40", "Other")</f>
        <v>30-40</v>
      </c>
      <c r="O33">
        <f>SUMIFS(Table7[[#This Row],[Frequency of Purchase]],Table7[[#This Row],[Task-7.1]], "30-40", Table7[[#This Row],[Category]], "Apparel")</f>
        <v>0</v>
      </c>
      <c r="P33" t="e">
        <f>SUMIFS(Table7[[#This Row],[Frequency of Purchase]], Table7[[#This Row],[Task-7.1]], "30-40",Table7[[#This Row],[Category]], "Apparel") / COUNTIFS(Table7[[#This Row],[Task-7.1]], "30-40", Table7[[#This Row],[Category]], "Apparel")</f>
        <v>#DIV/0!</v>
      </c>
    </row>
    <row r="34" spans="2:16" x14ac:dyDescent="0.25">
      <c r="B34" s="11" t="s">
        <v>113</v>
      </c>
      <c r="C34" s="2">
        <v>45036</v>
      </c>
      <c r="D34" s="11">
        <v>70</v>
      </c>
      <c r="E34">
        <v>1</v>
      </c>
      <c r="F34">
        <v>25</v>
      </c>
      <c r="G34">
        <v>4</v>
      </c>
      <c r="H34" t="s">
        <v>86</v>
      </c>
      <c r="I34" s="2">
        <v>44566</v>
      </c>
      <c r="J34" t="s">
        <v>77</v>
      </c>
      <c r="K34" s="12" t="str">
        <f>IF('IF''S'!$D34&gt;150,"High Value","standard Value")</f>
        <v>standard Value</v>
      </c>
      <c r="L34" s="18" t="b">
        <f>SUMIF(Table7[[#This Row],[Channel]],"online")=COUNTIF(Table7[[#This Row],[Channel]],"offline")</f>
        <v>1</v>
      </c>
      <c r="M34">
        <f t="shared" si="0"/>
        <v>15</v>
      </c>
      <c r="N34" t="str">
        <f>IF(AND(Table7[[#This Row],[Age]]&gt;=30, Table7[[#This Row],[Age]]&lt;=40), "30-40", "Other")</f>
        <v>Other</v>
      </c>
      <c r="O34">
        <f>SUMIFS(Table7[[#This Row],[Frequency of Purchase]],Table7[[#This Row],[Task-7.1]], "30-40", Table7[[#This Row],[Category]], "Apparel")</f>
        <v>0</v>
      </c>
      <c r="P34" t="e">
        <f>SUMIFS(Table7[[#This Row],[Frequency of Purchase]], Table7[[#This Row],[Task-7.1]], "30-40",Table7[[#This Row],[Category]], "Apparel") / COUNTIFS(Table7[[#This Row],[Task-7.1]], "30-40", Table7[[#This Row],[Category]], "Apparel")</f>
        <v>#DIV/0!</v>
      </c>
    </row>
    <row r="35" spans="2:16" x14ac:dyDescent="0.25">
      <c r="B35" s="13" t="s">
        <v>134</v>
      </c>
      <c r="C35" s="2">
        <v>45047</v>
      </c>
      <c r="D35" s="13">
        <v>100</v>
      </c>
      <c r="E35">
        <v>1</v>
      </c>
      <c r="F35">
        <v>45</v>
      </c>
      <c r="G35">
        <v>3</v>
      </c>
      <c r="H35" t="s">
        <v>136</v>
      </c>
      <c r="I35" s="2">
        <v>44573</v>
      </c>
      <c r="J35" t="s">
        <v>77</v>
      </c>
      <c r="K35" s="12" t="str">
        <f>IF('IF''S'!$D35&gt;150,"High Value","standard Value")</f>
        <v>standard Value</v>
      </c>
      <c r="L35" t="b">
        <f>SUMIF(Table7[[#This Row],[Channel]],"online")=COUNTIF(Table7[[#This Row],[Channel]],"offline")</f>
        <v>1</v>
      </c>
      <c r="M35">
        <f t="shared" si="0"/>
        <v>15</v>
      </c>
      <c r="N35" t="str">
        <f>IF(AND(Table7[[#This Row],[Age]]&gt;=30, Table7[[#This Row],[Age]]&lt;=40), "30-40", "Other")</f>
        <v>Other</v>
      </c>
      <c r="O35">
        <f>SUMIFS(Table7[[#This Row],[Frequency of Purchase]],Table7[[#This Row],[Task-7.1]], "30-40", Table7[[#This Row],[Category]], "Apparel")</f>
        <v>0</v>
      </c>
      <c r="P35" t="e">
        <f>SUMIFS(Table7[[#This Row],[Frequency of Purchase]], Table7[[#This Row],[Task-7.1]], "30-40",Table7[[#This Row],[Category]], "Apparel") / COUNTIFS(Table7[[#This Row],[Task-7.1]], "30-40", Table7[[#This Row],[Category]], "Apparel")</f>
        <v>#DIV/0!</v>
      </c>
    </row>
    <row r="36" spans="2:16" x14ac:dyDescent="0.25">
      <c r="B36" s="11" t="s">
        <v>139</v>
      </c>
      <c r="C36" s="2">
        <v>45082</v>
      </c>
      <c r="D36" s="11">
        <v>40</v>
      </c>
      <c r="E36">
        <v>2</v>
      </c>
      <c r="F36">
        <v>29</v>
      </c>
      <c r="G36">
        <v>2</v>
      </c>
      <c r="H36" t="s">
        <v>86</v>
      </c>
      <c r="I36" s="2">
        <v>44576</v>
      </c>
      <c r="J36" t="s">
        <v>89</v>
      </c>
      <c r="K36" s="12" t="str">
        <f>IF('IF''S'!$D36&gt;150,"High Value","standard Value")</f>
        <v>standard Value</v>
      </c>
      <c r="L36" s="18" t="b">
        <f>SUMIF(Table7[[#This Row],[Channel]],"online")=COUNTIF(Table7[[#This Row],[Channel]],"offline")</f>
        <v>0</v>
      </c>
      <c r="M36">
        <f t="shared" si="0"/>
        <v>16</v>
      </c>
      <c r="N36" t="str">
        <f>IF(AND(Table7[[#This Row],[Age]]&gt;=30, Table7[[#This Row],[Age]]&lt;=40), "30-40", "Other")</f>
        <v>Other</v>
      </c>
      <c r="O36">
        <f>SUMIFS(Table7[[#This Row],[Frequency of Purchase]],Table7[[#This Row],[Task-7.1]], "30-40", Table7[[#This Row],[Category]], "Apparel")</f>
        <v>0</v>
      </c>
      <c r="P36" t="e">
        <f>SUMIFS(Table7[[#This Row],[Frequency of Purchase]], Table7[[#This Row],[Task-7.1]], "30-40",Table7[[#This Row],[Category]], "Apparel") / COUNTIFS(Table7[[#This Row],[Task-7.1]], "30-40", Table7[[#This Row],[Category]], "Apparel")</f>
        <v>#DIV/0!</v>
      </c>
    </row>
    <row r="37" spans="2:16" x14ac:dyDescent="0.25">
      <c r="B37" s="13" t="s">
        <v>145</v>
      </c>
      <c r="C37" s="2">
        <v>45117</v>
      </c>
      <c r="D37" s="13">
        <v>90</v>
      </c>
      <c r="E37">
        <v>1</v>
      </c>
      <c r="F37">
        <v>33</v>
      </c>
      <c r="G37">
        <v>4</v>
      </c>
      <c r="H37" t="s">
        <v>74</v>
      </c>
      <c r="I37" s="2">
        <v>44579</v>
      </c>
      <c r="J37" t="s">
        <v>77</v>
      </c>
      <c r="K37" s="12" t="str">
        <f>IF('IF''S'!$D37&gt;150,"High Value","standard Value")</f>
        <v>standard Value</v>
      </c>
      <c r="L37" t="b">
        <f>SUMIF(Table7[[#This Row],[Channel]],"online")=COUNTIF(Table7[[#This Row],[Channel]],"offline")</f>
        <v>1</v>
      </c>
      <c r="M37">
        <f t="shared" si="0"/>
        <v>17</v>
      </c>
      <c r="N37" t="str">
        <f>IF(AND(Table7[[#This Row],[Age]]&gt;=30, Table7[[#This Row],[Age]]&lt;=40), "30-40", "Other")</f>
        <v>30-40</v>
      </c>
      <c r="O37">
        <f>SUMIFS(Table7[[#This Row],[Frequency of Purchase]],Table7[[#This Row],[Task-7.1]], "30-40", Table7[[#This Row],[Category]], "Apparel")</f>
        <v>0</v>
      </c>
      <c r="P37" t="e">
        <f>SUMIFS(Table7[[#This Row],[Frequency of Purchase]], Table7[[#This Row],[Task-7.1]], "30-40",Table7[[#This Row],[Category]], "Apparel") / COUNTIFS(Table7[[#This Row],[Task-7.1]], "30-40", Table7[[#This Row],[Category]], "Apparel")</f>
        <v>#DIV/0!</v>
      </c>
    </row>
    <row r="38" spans="2:16" x14ac:dyDescent="0.25">
      <c r="B38" s="11" t="s">
        <v>71</v>
      </c>
      <c r="C38" s="2">
        <v>45153</v>
      </c>
      <c r="D38" s="11">
        <v>180</v>
      </c>
      <c r="E38">
        <v>1</v>
      </c>
      <c r="F38">
        <v>28</v>
      </c>
      <c r="G38">
        <v>5</v>
      </c>
      <c r="H38" t="s">
        <v>74</v>
      </c>
      <c r="I38" s="2">
        <v>44531</v>
      </c>
      <c r="J38" t="s">
        <v>77</v>
      </c>
      <c r="K38" s="12" t="str">
        <f>IF('IF''S'!$D38&gt;150,"High Value","standard Value")</f>
        <v>High Value</v>
      </c>
      <c r="L38" s="18" t="b">
        <f>SUMIF(Table7[[#This Row],[Channel]],"online")=COUNTIF(Table7[[#This Row],[Channel]],"offline")</f>
        <v>1</v>
      </c>
      <c r="M38">
        <f t="shared" si="0"/>
        <v>20</v>
      </c>
      <c r="N38" t="str">
        <f>IF(AND(Table7[[#This Row],[Age]]&gt;=30, Table7[[#This Row],[Age]]&lt;=40), "30-40", "Other")</f>
        <v>Other</v>
      </c>
      <c r="O38">
        <f>SUMIFS(Table7[[#This Row],[Frequency of Purchase]],Table7[[#This Row],[Task-7.1]], "30-40", Table7[[#This Row],[Category]], "Apparel")</f>
        <v>0</v>
      </c>
      <c r="P38" t="e">
        <f>SUMIFS(Table7[[#This Row],[Frequency of Purchase]], Table7[[#This Row],[Task-7.1]], "30-40",Table7[[#This Row],[Category]], "Apparel") / COUNTIFS(Table7[[#This Row],[Task-7.1]], "30-40", Table7[[#This Row],[Category]], "Apparel")</f>
        <v>#DIV/0!</v>
      </c>
    </row>
    <row r="39" spans="2:16" x14ac:dyDescent="0.25">
      <c r="B39" s="13" t="s">
        <v>83</v>
      </c>
      <c r="C39" s="2">
        <v>45189</v>
      </c>
      <c r="D39" s="13">
        <v>150</v>
      </c>
      <c r="E39">
        <v>1</v>
      </c>
      <c r="F39">
        <v>35</v>
      </c>
      <c r="G39">
        <v>3</v>
      </c>
      <c r="H39" t="s">
        <v>86</v>
      </c>
      <c r="I39" s="2">
        <v>44510</v>
      </c>
      <c r="J39" t="s">
        <v>77</v>
      </c>
      <c r="K39" s="12" t="str">
        <f>IF('IF''S'!$D39&gt;150,"High Value","standard Value")</f>
        <v>standard Value</v>
      </c>
      <c r="L39" t="b">
        <f>SUMIF(Table7[[#This Row],[Channel]],"online")=COUNTIF(Table7[[#This Row],[Channel]],"offline")</f>
        <v>1</v>
      </c>
      <c r="M39">
        <f t="shared" si="0"/>
        <v>22</v>
      </c>
      <c r="N39" t="str">
        <f>IF(AND(Table7[[#This Row],[Age]]&gt;=30, Table7[[#This Row],[Age]]&lt;=40), "30-40", "Other")</f>
        <v>30-40</v>
      </c>
      <c r="O39">
        <f>SUMIFS(Table7[[#This Row],[Frequency of Purchase]],Table7[[#This Row],[Task-7.1]], "30-40", Table7[[#This Row],[Category]], "Apparel")</f>
        <v>3</v>
      </c>
      <c r="P39" s="54">
        <f>SUMIFS(Table7[[#This Row],[Frequency of Purchase]], Table7[[#This Row],[Task-7.1]], "30-40",Table7[[#This Row],[Category]], "Apparel") / COUNTIFS(Table7[[#This Row],[Task-7.1]], "30-40", Table7[[#This Row],[Category]], "Apparel")</f>
        <v>3</v>
      </c>
    </row>
    <row r="40" spans="2:16" x14ac:dyDescent="0.25">
      <c r="B40" s="11" t="s">
        <v>95</v>
      </c>
      <c r="C40" s="2">
        <v>45224</v>
      </c>
      <c r="D40" s="11">
        <v>350</v>
      </c>
      <c r="E40">
        <v>1</v>
      </c>
      <c r="F40">
        <v>42</v>
      </c>
      <c r="G40">
        <v>7</v>
      </c>
      <c r="H40" t="s">
        <v>136</v>
      </c>
      <c r="I40" s="2">
        <v>44550</v>
      </c>
      <c r="J40" t="s">
        <v>77</v>
      </c>
      <c r="K40" s="12" t="str">
        <f>IF('IF''S'!$D40&gt;150,"High Value","standard Value")</f>
        <v>High Value</v>
      </c>
      <c r="L40" s="18" t="b">
        <f>SUMIF(Table7[[#This Row],[Channel]],"online")=COUNTIF(Table7[[#This Row],[Channel]],"offline")</f>
        <v>1</v>
      </c>
      <c r="M40">
        <f t="shared" si="0"/>
        <v>22</v>
      </c>
      <c r="N40" t="str">
        <f>IF(AND(Table7[[#This Row],[Age]]&gt;=30, Table7[[#This Row],[Age]]&lt;=40), "30-40", "Other")</f>
        <v>Other</v>
      </c>
      <c r="O40">
        <f>SUMIFS(Table7[[#This Row],[Frequency of Purchase]],Table7[[#This Row],[Task-7.1]], "30-40", Table7[[#This Row],[Category]], "Apparel")</f>
        <v>0</v>
      </c>
      <c r="P40" t="e">
        <f>SUMIFS(Table7[[#This Row],[Frequency of Purchase]], Table7[[#This Row],[Task-7.1]], "30-40",Table7[[#This Row],[Category]], "Apparel") / COUNTIFS(Table7[[#This Row],[Task-7.1]], "30-40", Table7[[#This Row],[Category]], "Apparel")</f>
        <v>#DIV/0!</v>
      </c>
    </row>
    <row r="41" spans="2:16" x14ac:dyDescent="0.25">
      <c r="B41" s="13" t="s">
        <v>104</v>
      </c>
      <c r="C41" s="2">
        <v>45231</v>
      </c>
      <c r="D41" s="13">
        <v>110</v>
      </c>
      <c r="E41">
        <v>1</v>
      </c>
      <c r="F41">
        <v>30</v>
      </c>
      <c r="G41">
        <v>2</v>
      </c>
      <c r="H41" t="s">
        <v>123</v>
      </c>
      <c r="I41" s="2">
        <v>44562</v>
      </c>
      <c r="J41" t="s">
        <v>89</v>
      </c>
      <c r="K41" s="12" t="str">
        <f>IF('IF''S'!$D41&gt;150,"High Value","standard Value")</f>
        <v>standard Value</v>
      </c>
      <c r="L41" t="b">
        <f>SUMIF(Table7[[#This Row],[Channel]],"online")=COUNTIF(Table7[[#This Row],[Channel]],"offline")</f>
        <v>0</v>
      </c>
      <c r="M41">
        <f t="shared" si="0"/>
        <v>22</v>
      </c>
      <c r="N41" t="str">
        <f>IF(AND(Table7[[#This Row],[Age]]&gt;=30, Table7[[#This Row],[Age]]&lt;=40), "30-40", "Other")</f>
        <v>30-40</v>
      </c>
      <c r="O41">
        <f>SUMIFS(Table7[[#This Row],[Frequency of Purchase]],Table7[[#This Row],[Task-7.1]], "30-40", Table7[[#This Row],[Category]], "Apparel")</f>
        <v>0</v>
      </c>
      <c r="P41" t="e">
        <f>SUMIFS(Table7[[#This Row],[Frequency of Purchase]], Table7[[#This Row],[Task-7.1]], "30-40",Table7[[#This Row],[Category]], "Apparel") / COUNTIFS(Table7[[#This Row],[Task-7.1]], "30-40", Table7[[#This Row],[Category]], "Apparel")</f>
        <v>#DIV/0!</v>
      </c>
    </row>
    <row r="42" spans="2:16" x14ac:dyDescent="0.25">
      <c r="B42" s="11" t="s">
        <v>113</v>
      </c>
      <c r="C42" s="2">
        <v>45265</v>
      </c>
      <c r="D42" s="11">
        <v>50</v>
      </c>
      <c r="E42">
        <v>3</v>
      </c>
      <c r="F42">
        <v>25</v>
      </c>
      <c r="G42">
        <v>4</v>
      </c>
      <c r="H42" t="s">
        <v>136</v>
      </c>
      <c r="I42" s="2">
        <v>44566</v>
      </c>
      <c r="J42" t="s">
        <v>77</v>
      </c>
      <c r="K42" s="12" t="str">
        <f>IF('IF''S'!$D42&gt;150,"High Value","standard Value")</f>
        <v>standard Value</v>
      </c>
      <c r="L42" s="18" t="b">
        <f>SUMIF(Table7[[#This Row],[Channel]],"online")=COUNTIF(Table7[[#This Row],[Channel]],"offline")</f>
        <v>1</v>
      </c>
      <c r="M42">
        <f t="shared" si="0"/>
        <v>23</v>
      </c>
      <c r="N42" t="str">
        <f>IF(AND(Table7[[#This Row],[Age]]&gt;=30, Table7[[#This Row],[Age]]&lt;=40), "30-40", "Other")</f>
        <v>Other</v>
      </c>
      <c r="O42">
        <f>SUMIFS(Table7[[#This Row],[Frequency of Purchase]],Table7[[#This Row],[Task-7.1]], "30-40", Table7[[#This Row],[Category]], "Apparel")</f>
        <v>0</v>
      </c>
      <c r="P42" t="e">
        <f>SUMIFS(Table7[[#This Row],[Frequency of Purchase]], Table7[[#This Row],[Task-7.1]], "30-40",Table7[[#This Row],[Category]], "Apparel") / COUNTIFS(Table7[[#This Row],[Task-7.1]], "30-40", Table7[[#This Row],[Category]], "Apparel")</f>
        <v>#DIV/0!</v>
      </c>
    </row>
    <row r="43" spans="2:16" x14ac:dyDescent="0.25">
      <c r="B43" s="13" t="s">
        <v>121</v>
      </c>
      <c r="C43" s="2">
        <v>45296</v>
      </c>
      <c r="D43" s="13">
        <v>1300</v>
      </c>
      <c r="E43">
        <v>1</v>
      </c>
      <c r="F43">
        <v>38</v>
      </c>
      <c r="G43">
        <v>2</v>
      </c>
      <c r="H43" t="s">
        <v>74</v>
      </c>
      <c r="I43" s="2">
        <v>44569</v>
      </c>
      <c r="J43" t="s">
        <v>77</v>
      </c>
      <c r="K43" s="12" t="str">
        <f>IF('IF''S'!$D43&gt;150,"High Value","standard Value")</f>
        <v>High Value</v>
      </c>
      <c r="L43" t="b">
        <f>SUMIF(Table7[[#This Row],[Channel]],"online")=COUNTIF(Table7[[#This Row],[Channel]],"offline")</f>
        <v>1</v>
      </c>
      <c r="M43">
        <f t="shared" si="0"/>
        <v>23</v>
      </c>
      <c r="N43" t="str">
        <f>IF(AND(Table7[[#This Row],[Age]]&gt;=30, Table7[[#This Row],[Age]]&lt;=40), "30-40", "Other")</f>
        <v>30-40</v>
      </c>
      <c r="O43">
        <f>SUMIFS(Table7[[#This Row],[Frequency of Purchase]],Table7[[#This Row],[Task-7.1]], "30-40", Table7[[#This Row],[Category]], "Apparel")</f>
        <v>0</v>
      </c>
      <c r="P43" t="e">
        <f>SUMIFS(Table7[[#This Row],[Frequency of Purchase]], Table7[[#This Row],[Task-7.1]], "30-40",Table7[[#This Row],[Category]], "Apparel") / COUNTIFS(Table7[[#This Row],[Task-7.1]], "30-40", Table7[[#This Row],[Category]], "Apparel")</f>
        <v>#DIV/0!</v>
      </c>
    </row>
    <row r="44" spans="2:16" x14ac:dyDescent="0.25">
      <c r="B44" s="11" t="s">
        <v>128</v>
      </c>
      <c r="C44" s="2">
        <v>45301</v>
      </c>
      <c r="D44" s="11">
        <v>180</v>
      </c>
      <c r="E44">
        <v>1</v>
      </c>
      <c r="F44">
        <v>31</v>
      </c>
      <c r="G44">
        <v>6</v>
      </c>
      <c r="H44" t="s">
        <v>74</v>
      </c>
      <c r="I44" s="2">
        <v>44571</v>
      </c>
      <c r="J44" t="s">
        <v>77</v>
      </c>
      <c r="K44" s="12" t="str">
        <f>IF('IF''S'!$D44&gt;150,"High Value","standard Value")</f>
        <v>High Value</v>
      </c>
      <c r="L44" s="18" t="b">
        <f>SUMIF(Table7[[#This Row],[Channel]],"online")=COUNTIF(Table7[[#This Row],[Channel]],"offline")</f>
        <v>1</v>
      </c>
      <c r="M44">
        <f t="shared" si="0"/>
        <v>24</v>
      </c>
      <c r="N44" t="str">
        <f>IF(AND(Table7[[#This Row],[Age]]&gt;=30, Table7[[#This Row],[Age]]&lt;=40), "30-40", "Other")</f>
        <v>30-40</v>
      </c>
      <c r="O44">
        <f>SUMIFS(Table7[[#This Row],[Frequency of Purchase]],Table7[[#This Row],[Task-7.1]], "30-40", Table7[[#This Row],[Category]], "Apparel")</f>
        <v>0</v>
      </c>
      <c r="P44" t="e">
        <f>SUMIFS(Table7[[#This Row],[Frequency of Purchase]], Table7[[#This Row],[Task-7.1]], "30-40",Table7[[#This Row],[Category]], "Apparel") / COUNTIFS(Table7[[#This Row],[Task-7.1]], "30-40", Table7[[#This Row],[Category]], "Apparel")</f>
        <v>#DIV/0!</v>
      </c>
    </row>
    <row r="45" spans="2:16" x14ac:dyDescent="0.25">
      <c r="B45" s="13" t="s">
        <v>134</v>
      </c>
      <c r="C45" s="2">
        <v>45337</v>
      </c>
      <c r="D45" s="13">
        <v>150</v>
      </c>
      <c r="E45">
        <v>1</v>
      </c>
      <c r="F45">
        <v>45</v>
      </c>
      <c r="G45">
        <v>3</v>
      </c>
      <c r="H45" t="s">
        <v>136</v>
      </c>
      <c r="I45" s="2">
        <v>44573</v>
      </c>
      <c r="J45" t="s">
        <v>77</v>
      </c>
      <c r="K45" s="12" t="str">
        <f>IF('IF''S'!$D45&gt;150,"High Value","standard Value")</f>
        <v>standard Value</v>
      </c>
      <c r="L45" t="b">
        <f>SUMIF(Table7[[#This Row],[Channel]],"online")=COUNTIF(Table7[[#This Row],[Channel]],"offline")</f>
        <v>1</v>
      </c>
      <c r="M45">
        <f t="shared" si="0"/>
        <v>25</v>
      </c>
      <c r="N45" t="str">
        <f>IF(AND(Table7[[#This Row],[Age]]&gt;=30, Table7[[#This Row],[Age]]&lt;=40), "30-40", "Other")</f>
        <v>Other</v>
      </c>
      <c r="O45">
        <f>SUMIFS(Table7[[#This Row],[Frequency of Purchase]],Table7[[#This Row],[Task-7.1]], "30-40", Table7[[#This Row],[Category]], "Apparel")</f>
        <v>0</v>
      </c>
      <c r="P45" t="e">
        <f>SUMIFS(Table7[[#This Row],[Frequency of Purchase]], Table7[[#This Row],[Task-7.1]], "30-40",Table7[[#This Row],[Category]], "Apparel") / COUNTIFS(Table7[[#This Row],[Task-7.1]], "30-40", Table7[[#This Row],[Category]], "Apparel")</f>
        <v>#DIV/0!</v>
      </c>
    </row>
    <row r="46" spans="2:16" x14ac:dyDescent="0.25">
      <c r="B46" s="11" t="s">
        <v>139</v>
      </c>
      <c r="C46" s="2">
        <v>45371</v>
      </c>
      <c r="D46" s="11">
        <v>130</v>
      </c>
      <c r="E46">
        <v>1</v>
      </c>
      <c r="F46">
        <v>29</v>
      </c>
      <c r="G46">
        <v>2</v>
      </c>
      <c r="H46" t="s">
        <v>86</v>
      </c>
      <c r="I46" s="2">
        <v>44576</v>
      </c>
      <c r="J46" t="s">
        <v>89</v>
      </c>
      <c r="K46" s="12" t="str">
        <f>IF('IF''S'!$D46&gt;150,"High Value","standard Value")</f>
        <v>standard Value</v>
      </c>
      <c r="L46" s="18" t="b">
        <f>SUMIF(Table7[[#This Row],[Channel]],"online")=COUNTIF(Table7[[#This Row],[Channel]],"offline")</f>
        <v>0</v>
      </c>
      <c r="M46">
        <f t="shared" si="0"/>
        <v>26</v>
      </c>
      <c r="N46" t="str">
        <f>IF(AND(Table7[[#This Row],[Age]]&gt;=30, Table7[[#This Row],[Age]]&lt;=40), "30-40", "Other")</f>
        <v>Other</v>
      </c>
      <c r="O46">
        <f>SUMIFS(Table7[[#This Row],[Frequency of Purchase]],Table7[[#This Row],[Task-7.1]], "30-40", Table7[[#This Row],[Category]], "Apparel")</f>
        <v>0</v>
      </c>
      <c r="P46" t="e">
        <f>SUMIFS(Table7[[#This Row],[Frequency of Purchase]], Table7[[#This Row],[Task-7.1]], "30-40",Table7[[#This Row],[Category]], "Apparel") / COUNTIFS(Table7[[#This Row],[Task-7.1]], "30-40", Table7[[#This Row],[Category]], "Apparel")</f>
        <v>#DIV/0!</v>
      </c>
    </row>
    <row r="47" spans="2:16" x14ac:dyDescent="0.25">
      <c r="B47" s="13" t="s">
        <v>145</v>
      </c>
      <c r="C47" s="2">
        <v>45407</v>
      </c>
      <c r="D47" s="13">
        <v>70</v>
      </c>
      <c r="E47">
        <v>1</v>
      </c>
      <c r="F47">
        <v>33</v>
      </c>
      <c r="G47">
        <v>4</v>
      </c>
      <c r="H47" t="s">
        <v>74</v>
      </c>
      <c r="I47" s="2">
        <v>44579</v>
      </c>
      <c r="J47" t="s">
        <v>77</v>
      </c>
      <c r="K47" s="12" t="str">
        <f>IF('IF''S'!$D47&gt;150,"High Value","standard Value")</f>
        <v>standard Value</v>
      </c>
      <c r="L47" t="b">
        <f>SUMIF(Table7[[#This Row],[Channel]],"online")=COUNTIF(Table7[[#This Row],[Channel]],"offline")</f>
        <v>1</v>
      </c>
      <c r="M47">
        <f t="shared" si="0"/>
        <v>27</v>
      </c>
      <c r="N47" t="str">
        <f>IF(AND(Table7[[#This Row],[Age]]&gt;=30, Table7[[#This Row],[Age]]&lt;=40), "30-40", "Other")</f>
        <v>30-40</v>
      </c>
      <c r="O47">
        <f>SUMIFS(Table7[[#This Row],[Frequency of Purchase]],Table7[[#This Row],[Task-7.1]], "30-40", Table7[[#This Row],[Category]], "Apparel")</f>
        <v>0</v>
      </c>
      <c r="P47" t="e">
        <f>SUMIFS(Table7[[#This Row],[Frequency of Purchase]], Table7[[#This Row],[Task-7.1]], "30-40",Table7[[#This Row],[Category]], "Apparel") / COUNTIFS(Table7[[#This Row],[Task-7.1]], "30-40", Table7[[#This Row],[Category]], "Apparel")</f>
        <v>#DIV/0!</v>
      </c>
    </row>
    <row r="48" spans="2:16" x14ac:dyDescent="0.25">
      <c r="B48" s="11" t="s">
        <v>71</v>
      </c>
      <c r="C48" s="2">
        <v>45413</v>
      </c>
      <c r="D48" s="11">
        <v>100</v>
      </c>
      <c r="E48">
        <v>1</v>
      </c>
      <c r="F48">
        <v>28</v>
      </c>
      <c r="G48">
        <v>5</v>
      </c>
      <c r="H48" t="s">
        <v>74</v>
      </c>
      <c r="I48" s="2">
        <v>44531</v>
      </c>
      <c r="J48" t="s">
        <v>77</v>
      </c>
      <c r="K48" s="12" t="str">
        <f>IF('IF''S'!$D48&gt;150,"High Value","standard Value")</f>
        <v>standard Value</v>
      </c>
      <c r="L48" s="18" t="b">
        <f>SUMIF(Table7[[#This Row],[Channel]],"online")=COUNTIF(Table7[[#This Row],[Channel]],"offline")</f>
        <v>1</v>
      </c>
      <c r="M48">
        <f t="shared" si="0"/>
        <v>29</v>
      </c>
      <c r="N48" t="str">
        <f>IF(AND(Table7[[#This Row],[Age]]&gt;=30, Table7[[#This Row],[Age]]&lt;=40), "30-40", "Other")</f>
        <v>Other</v>
      </c>
      <c r="O48">
        <f>SUMIFS(Table7[[#This Row],[Frequency of Purchase]],Table7[[#This Row],[Task-7.1]], "30-40", Table7[[#This Row],[Category]], "Apparel")</f>
        <v>0</v>
      </c>
      <c r="P48" t="e">
        <f>SUMIFS(Table7[[#This Row],[Frequency of Purchase]], Table7[[#This Row],[Task-7.1]], "30-40",Table7[[#This Row],[Category]], "Apparel") / COUNTIFS(Table7[[#This Row],[Task-7.1]], "30-40", Table7[[#This Row],[Category]], "Apparel")</f>
        <v>#DIV/0!</v>
      </c>
    </row>
    <row r="49" spans="2:16" x14ac:dyDescent="0.25">
      <c r="B49" s="13" t="s">
        <v>83</v>
      </c>
      <c r="C49" s="2">
        <v>45453</v>
      </c>
      <c r="D49" s="13">
        <v>200</v>
      </c>
      <c r="E49">
        <v>1</v>
      </c>
      <c r="F49">
        <v>35</v>
      </c>
      <c r="G49">
        <v>3</v>
      </c>
      <c r="H49" t="s">
        <v>189</v>
      </c>
      <c r="I49" s="2">
        <v>44510</v>
      </c>
      <c r="J49" t="s">
        <v>89</v>
      </c>
      <c r="K49" s="12" t="str">
        <f>IF('IF''S'!$D49&gt;150,"High Value","standard Value")</f>
        <v>High Value</v>
      </c>
      <c r="L49" t="b">
        <f>SUMIF(Table7[[#This Row],[Channel]],"online")=COUNTIF(Table7[[#This Row],[Channel]],"offline")</f>
        <v>0</v>
      </c>
      <c r="M49">
        <f t="shared" si="0"/>
        <v>31</v>
      </c>
      <c r="N49" t="str">
        <f>IF(AND(Table7[[#This Row],[Age]]&gt;=30, Table7[[#This Row],[Age]]&lt;=40), "30-40", "Other")</f>
        <v>30-40</v>
      </c>
      <c r="O49">
        <f>SUMIFS(Table7[[#This Row],[Frequency of Purchase]],Table7[[#This Row],[Task-7.1]], "30-40", Table7[[#This Row],[Category]], "Apparel")</f>
        <v>0</v>
      </c>
      <c r="P49" t="e">
        <f>SUMIFS(Table7[[#This Row],[Frequency of Purchase]], Table7[[#This Row],[Task-7.1]], "30-40",Table7[[#This Row],[Category]], "Apparel") / COUNTIFS(Table7[[#This Row],[Task-7.1]], "30-40", Table7[[#This Row],[Category]], "Apparel")</f>
        <v>#DIV/0!</v>
      </c>
    </row>
    <row r="50" spans="2:16" x14ac:dyDescent="0.25">
      <c r="B50" s="11" t="s">
        <v>95</v>
      </c>
      <c r="C50" s="2">
        <v>45488</v>
      </c>
      <c r="D50" s="11">
        <v>60</v>
      </c>
      <c r="E50">
        <v>1</v>
      </c>
      <c r="F50">
        <v>42</v>
      </c>
      <c r="G50">
        <v>7</v>
      </c>
      <c r="H50" t="s">
        <v>136</v>
      </c>
      <c r="I50" s="2">
        <v>44550</v>
      </c>
      <c r="J50" t="s">
        <v>77</v>
      </c>
      <c r="K50" s="12" t="str">
        <f>IF('IF''S'!$D50&gt;150,"High Value","standard Value")</f>
        <v>standard Value</v>
      </c>
      <c r="L50" s="18" t="b">
        <f>SUMIF(Table7[[#This Row],[Channel]],"online")=COUNTIF(Table7[[#This Row],[Channel]],"offline")</f>
        <v>1</v>
      </c>
      <c r="M50">
        <f t="shared" si="0"/>
        <v>30</v>
      </c>
      <c r="N50" t="str">
        <f>IF(AND(Table7[[#This Row],[Age]]&gt;=30, Table7[[#This Row],[Age]]&lt;=40), "30-40", "Other")</f>
        <v>Other</v>
      </c>
      <c r="O50">
        <f>SUMIFS(Table7[[#This Row],[Frequency of Purchase]],Table7[[#This Row],[Task-7.1]], "30-40", Table7[[#This Row],[Category]], "Apparel")</f>
        <v>0</v>
      </c>
      <c r="P50" t="e">
        <f>SUMIFS(Table7[[#This Row],[Frequency of Purchase]], Table7[[#This Row],[Task-7.1]], "30-40",Table7[[#This Row],[Category]], "Apparel") / COUNTIFS(Table7[[#This Row],[Task-7.1]], "30-40", Table7[[#This Row],[Category]], "Apparel")</f>
        <v>#DIV/0!</v>
      </c>
    </row>
    <row r="51" spans="2:16" x14ac:dyDescent="0.25">
      <c r="B51" s="13" t="s">
        <v>104</v>
      </c>
      <c r="C51" s="2">
        <v>45524</v>
      </c>
      <c r="D51" s="13">
        <v>80</v>
      </c>
      <c r="E51">
        <v>1</v>
      </c>
      <c r="F51">
        <v>30</v>
      </c>
      <c r="G51">
        <v>2</v>
      </c>
      <c r="H51" t="s">
        <v>86</v>
      </c>
      <c r="I51" s="2">
        <v>44562</v>
      </c>
      <c r="J51" t="s">
        <v>77</v>
      </c>
      <c r="K51" s="12" t="str">
        <f>IF('IF''S'!$D51&gt;150,"High Value","standard Value")</f>
        <v>standard Value</v>
      </c>
      <c r="L51" t="b">
        <f>SUMIF(Table7[[#This Row],[Channel]],"online")=COUNTIF(Table7[[#This Row],[Channel]],"offline")</f>
        <v>1</v>
      </c>
      <c r="M51">
        <f t="shared" si="0"/>
        <v>31</v>
      </c>
      <c r="N51" t="str">
        <f>IF(AND(Table7[[#This Row],[Age]]&gt;=30, Table7[[#This Row],[Age]]&lt;=40), "30-40", "Other")</f>
        <v>30-40</v>
      </c>
      <c r="O51">
        <f>SUMIFS(Table7[[#This Row],[Frequency of Purchase]],Table7[[#This Row],[Task-7.1]], "30-40", Table7[[#This Row],[Category]], "Apparel")</f>
        <v>2</v>
      </c>
      <c r="P51" s="54">
        <f>SUMIFS(Table7[[#This Row],[Frequency of Purchase]], Table7[[#This Row],[Task-7.1]], "30-40",Table7[[#This Row],[Category]], "Apparel") / COUNTIFS(Table7[[#This Row],[Task-7.1]], "30-40", Table7[[#This Row],[Category]], "Apparel")</f>
        <v>2</v>
      </c>
    </row>
    <row r="52" spans="2:16" x14ac:dyDescent="0.25">
      <c r="B52" s="11" t="s">
        <v>113</v>
      </c>
      <c r="C52" s="2">
        <v>45560</v>
      </c>
      <c r="D52" s="11">
        <v>20</v>
      </c>
      <c r="E52">
        <v>2</v>
      </c>
      <c r="F52">
        <v>25</v>
      </c>
      <c r="G52">
        <v>4</v>
      </c>
      <c r="H52" t="s">
        <v>86</v>
      </c>
      <c r="I52" s="2">
        <v>44566</v>
      </c>
      <c r="J52" t="s">
        <v>77</v>
      </c>
      <c r="K52" s="12" t="str">
        <f>IF('IF''S'!$D52&gt;150,"High Value","standard Value")</f>
        <v>standard Value</v>
      </c>
      <c r="L52" s="18" t="b">
        <f>SUMIF(Table7[[#This Row],[Channel]],"online")=COUNTIF(Table7[[#This Row],[Channel]],"offline")</f>
        <v>1</v>
      </c>
      <c r="M52">
        <f t="shared" si="0"/>
        <v>32</v>
      </c>
      <c r="N52" t="str">
        <f>IF(AND(Table7[[#This Row],[Age]]&gt;=30, Table7[[#This Row],[Age]]&lt;=40), "30-40", "Other")</f>
        <v>Other</v>
      </c>
      <c r="O52">
        <f>SUMIFS(Table7[[#This Row],[Frequency of Purchase]],Table7[[#This Row],[Task-7.1]], "30-40", Table7[[#This Row],[Category]], "Apparel")</f>
        <v>0</v>
      </c>
      <c r="P52" t="e">
        <f>SUMIFS(Table7[[#This Row],[Frequency of Purchase]], Table7[[#This Row],[Task-7.1]], "30-40",Table7[[#This Row],[Category]], "Apparel") / COUNTIFS(Table7[[#This Row],[Task-7.1]], "30-40", Table7[[#This Row],[Category]], "Apparel")</f>
        <v>#DIV/0!</v>
      </c>
    </row>
    <row r="53" spans="2:16" x14ac:dyDescent="0.25">
      <c r="B53" s="13" t="s">
        <v>121</v>
      </c>
      <c r="C53" s="2">
        <v>45595</v>
      </c>
      <c r="D53" s="13">
        <v>450</v>
      </c>
      <c r="E53">
        <v>1</v>
      </c>
      <c r="F53">
        <v>38</v>
      </c>
      <c r="G53">
        <v>2</v>
      </c>
      <c r="H53" t="s">
        <v>74</v>
      </c>
      <c r="I53" s="2">
        <v>44569</v>
      </c>
      <c r="J53" t="s">
        <v>77</v>
      </c>
      <c r="K53" s="12" t="str">
        <f>IF('IF''S'!$D53&gt;150,"High Value","standard Value")</f>
        <v>High Value</v>
      </c>
      <c r="L53" t="b">
        <f>SUMIF(Table7[[#This Row],[Channel]],"online")=COUNTIF(Table7[[#This Row],[Channel]],"offline")</f>
        <v>1</v>
      </c>
      <c r="M53">
        <f t="shared" si="0"/>
        <v>33</v>
      </c>
      <c r="N53" t="str">
        <f>IF(AND(Table7[[#This Row],[Age]]&gt;=30, Table7[[#This Row],[Age]]&lt;=40), "30-40", "Other")</f>
        <v>30-40</v>
      </c>
      <c r="O53">
        <f>SUMIFS(Table7[[#This Row],[Frequency of Purchase]],Table7[[#This Row],[Task-7.1]], "30-40", Table7[[#This Row],[Category]], "Apparel")</f>
        <v>0</v>
      </c>
      <c r="P53" t="e">
        <f>SUMIFS(Table7[[#This Row],[Frequency of Purchase]], Table7[[#This Row],[Task-7.1]], "30-40",Table7[[#This Row],[Category]], "Apparel") / COUNTIFS(Table7[[#This Row],[Task-7.1]], "30-40", Table7[[#This Row],[Category]], "Apparel")</f>
        <v>#DIV/0!</v>
      </c>
    </row>
    <row r="54" spans="2:16" x14ac:dyDescent="0.25">
      <c r="B54" s="11" t="s">
        <v>128</v>
      </c>
      <c r="C54" s="2">
        <v>45601</v>
      </c>
      <c r="D54" s="11">
        <v>25</v>
      </c>
      <c r="E54">
        <v>4</v>
      </c>
      <c r="F54">
        <v>31</v>
      </c>
      <c r="G54">
        <v>6</v>
      </c>
      <c r="H54" t="s">
        <v>136</v>
      </c>
      <c r="I54" s="2">
        <v>44571</v>
      </c>
      <c r="J54" t="s">
        <v>77</v>
      </c>
      <c r="K54" s="12" t="str">
        <f>IF('IF''S'!$D54&gt;150,"High Value","standard Value")</f>
        <v>standard Value</v>
      </c>
      <c r="L54" s="18" t="b">
        <f>SUMIF(Table7[[#This Row],[Channel]],"online")=COUNTIF(Table7[[#This Row],[Channel]],"offline")</f>
        <v>1</v>
      </c>
      <c r="M54">
        <f t="shared" si="0"/>
        <v>33</v>
      </c>
      <c r="N54" t="str">
        <f>IF(AND(Table7[[#This Row],[Age]]&gt;=30, Table7[[#This Row],[Age]]&lt;=40), "30-40", "Other")</f>
        <v>30-40</v>
      </c>
      <c r="O54">
        <f>SUMIFS(Table7[[#This Row],[Frequency of Purchase]],Table7[[#This Row],[Task-7.1]], "30-40", Table7[[#This Row],[Category]], "Apparel")</f>
        <v>0</v>
      </c>
      <c r="P54" t="e">
        <f>SUMIFS(Table7[[#This Row],[Frequency of Purchase]], Table7[[#This Row],[Task-7.1]], "30-40",Table7[[#This Row],[Category]], "Apparel") / COUNTIFS(Table7[[#This Row],[Task-7.1]], "30-40", Table7[[#This Row],[Category]], "Apparel")</f>
        <v>#DIV/0!</v>
      </c>
    </row>
    <row r="55" spans="2:16" hidden="1" x14ac:dyDescent="0.25">
      <c r="B55" s="9" t="s">
        <v>134</v>
      </c>
      <c r="C55" s="2">
        <v>45636</v>
      </c>
      <c r="D55" s="9">
        <v>30</v>
      </c>
      <c r="E55">
        <v>2</v>
      </c>
      <c r="F55">
        <v>45</v>
      </c>
      <c r="G55">
        <v>3</v>
      </c>
      <c r="H55" t="s">
        <v>86</v>
      </c>
      <c r="I55" s="2">
        <v>44573</v>
      </c>
      <c r="J55" t="s">
        <v>89</v>
      </c>
      <c r="K55" s="12" t="str">
        <f>IF('IF''S'!$D55&gt;150,"High Value","standard Value")</f>
        <v>standard Value</v>
      </c>
      <c r="L55" t="b">
        <f>SUMIF(Table7[[#This Row],[Channel]],"online")=COUNTIF(Table7[[#This Row],[Channel]],"offline")</f>
        <v>0</v>
      </c>
      <c r="M55" s="23">
        <f t="shared" si="0"/>
        <v>34</v>
      </c>
      <c r="N55" s="24" t="str">
        <f>IF(AND(Table7[[#This Row],[Age]]&gt;=30, Table7[[#This Row],[Age]]&lt;=40), "30-40", "Other")</f>
        <v>Other</v>
      </c>
      <c r="O55" s="24">
        <f>SUMIFS(Table7[[#This Row],[Frequency of Purchase]],Table7[[#This Row],[Task-7.1]], "30-40", Table7[[#This Row],[Category]], "Apparel")</f>
        <v>0</v>
      </c>
      <c r="P55" s="24" t="e">
        <f>SUMIFS(Table7[[#This Row],[Frequency of Purchase]], Table7[[#This Row],[Task-7.1]], "30-40",Table7[[#This Row],[Category]], "Apparel") / COUNTIFS(Table7[[#This Row],[Task-7.1]], "30-40", Table7[[#This Row],[Category]], "Apparel")</f>
        <v>#DIV/0!</v>
      </c>
    </row>
  </sheetData>
  <phoneticPr fontId="7" type="noConversion"/>
  <conditionalFormatting sqref="D11:L54 R15">
    <cfRule type="containsText" dxfId="74" priority="3" operator="containsText" text="High Value">
      <formula>NOT(ISERROR(SEARCH("High Value",D11)))</formula>
    </cfRule>
  </conditionalFormatting>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D5B3B-4C50-480C-B6EF-D08DCA3D979F}">
  <sheetPr codeName="Sheet5"/>
  <dimension ref="A2:N165"/>
  <sheetViews>
    <sheetView topLeftCell="A106" workbookViewId="0">
      <selection activeCell="N122" sqref="N122"/>
    </sheetView>
  </sheetViews>
  <sheetFormatPr defaultRowHeight="15" x14ac:dyDescent="0.25"/>
  <cols>
    <col min="1" max="1" width="17.5703125" customWidth="1"/>
    <col min="2" max="2" width="17.42578125" customWidth="1"/>
    <col min="3" max="3" width="16.7109375" customWidth="1"/>
    <col min="4" max="4" width="19.5703125" customWidth="1"/>
    <col min="5" max="5" width="11.5703125" customWidth="1"/>
    <col min="6" max="6" width="11" customWidth="1"/>
    <col min="7" max="7" width="18.28515625" customWidth="1"/>
    <col min="8" max="8" width="17.42578125" customWidth="1"/>
    <col min="9" max="10" width="13.28515625" bestFit="1" customWidth="1"/>
    <col min="11" max="11" width="12.5703125" bestFit="1" customWidth="1"/>
  </cols>
  <sheetData>
    <row r="2" spans="1:10" ht="18.75" x14ac:dyDescent="0.3">
      <c r="A2" s="25" t="s">
        <v>249</v>
      </c>
    </row>
    <row r="6" spans="1:10" ht="15.75" x14ac:dyDescent="0.25">
      <c r="B6" s="21" t="s">
        <v>237</v>
      </c>
      <c r="C6" s="21" t="s">
        <v>238</v>
      </c>
      <c r="E6" s="30" t="s">
        <v>239</v>
      </c>
      <c r="F6" s="29" t="s">
        <v>241</v>
      </c>
      <c r="G6" s="30" t="s">
        <v>240</v>
      </c>
      <c r="H6" s="30" t="s">
        <v>242</v>
      </c>
      <c r="I6" s="30" t="s">
        <v>243</v>
      </c>
      <c r="J6" s="30" t="s">
        <v>250</v>
      </c>
    </row>
    <row r="7" spans="1:10" ht="15.75" x14ac:dyDescent="0.25">
      <c r="B7" s="21">
        <v>0</v>
      </c>
      <c r="C7" s="26">
        <v>0</v>
      </c>
      <c r="E7" s="2">
        <v>44566</v>
      </c>
      <c r="F7" s="27">
        <v>1200</v>
      </c>
      <c r="G7" s="31">
        <f>VLOOKUP(Table2[[#This Row],[Total Sales]],Table4[],2,TRUE)</f>
        <v>0.15</v>
      </c>
      <c r="H7" s="18">
        <f>Table2[[#This Row],[Total Sales]]*Table2[[#This Row],[Discount % To Be Calculated]]</f>
        <v>180</v>
      </c>
      <c r="I7" s="18">
        <f>Table2[[#This Row],[Total Sales]]-Table2[[#This Row],[Discount Value]]</f>
        <v>1020</v>
      </c>
      <c r="J7" s="18">
        <f>Table2[[#This Row],[Revenue]]/Table2[[#This Row],[Total Sales]]*100</f>
        <v>85</v>
      </c>
    </row>
    <row r="8" spans="1:10" ht="15.75" x14ac:dyDescent="0.25">
      <c r="B8" s="21">
        <v>100</v>
      </c>
      <c r="C8" s="26">
        <v>0.05</v>
      </c>
      <c r="E8" s="2">
        <v>44566</v>
      </c>
      <c r="F8" s="28">
        <v>25</v>
      </c>
      <c r="G8" s="31">
        <f>VLOOKUP(Table2[[#This Row],[Total Sales]],Table4[],2,TRUE)</f>
        <v>0</v>
      </c>
      <c r="H8" s="18">
        <f>Table2[[#This Row],[Total Sales]]*Table2[[#This Row],[Discount % To Be Calculated]]</f>
        <v>0</v>
      </c>
      <c r="I8" s="18">
        <f>Table2[[#This Row],[Total Sales]]-Table2[[#This Row],[Discount Value]]</f>
        <v>25</v>
      </c>
      <c r="J8" s="18">
        <f>Table2[[#This Row],[Revenue]]/Table2[[#This Row],[Total Sales]]*100</f>
        <v>100</v>
      </c>
    </row>
    <row r="9" spans="1:10" ht="15.75" x14ac:dyDescent="0.25">
      <c r="B9" s="21">
        <v>500</v>
      </c>
      <c r="C9" s="26">
        <v>0.1</v>
      </c>
      <c r="E9" s="2">
        <v>44567</v>
      </c>
      <c r="F9" s="27">
        <v>150</v>
      </c>
      <c r="G9" s="31">
        <f>VLOOKUP(Table2[[#This Row],[Total Sales]],Table4[],2,TRUE)</f>
        <v>0.05</v>
      </c>
      <c r="H9" s="18">
        <f>Table2[[#This Row],[Total Sales]]*Table2[[#This Row],[Discount % To Be Calculated]]</f>
        <v>7.5</v>
      </c>
      <c r="I9" s="18">
        <f>Table2[[#This Row],[Total Sales]]-Table2[[#This Row],[Discount Value]]</f>
        <v>142.5</v>
      </c>
      <c r="J9" s="18">
        <f>Table2[[#This Row],[Revenue]]/Table2[[#This Row],[Total Sales]]*100</f>
        <v>95</v>
      </c>
    </row>
    <row r="10" spans="1:10" ht="15.75" x14ac:dyDescent="0.25">
      <c r="B10" s="21">
        <v>1000</v>
      </c>
      <c r="C10" s="26">
        <v>0.15</v>
      </c>
      <c r="E10" s="2">
        <v>44568</v>
      </c>
      <c r="F10" s="28">
        <v>30</v>
      </c>
      <c r="G10" s="31">
        <f>VLOOKUP(Table2[[#This Row],[Total Sales]],Table4[],2,TRUE)</f>
        <v>0</v>
      </c>
      <c r="H10" s="18">
        <f>Table2[[#This Row],[Total Sales]]*Table2[[#This Row],[Discount % To Be Calculated]]</f>
        <v>0</v>
      </c>
      <c r="I10" s="18">
        <f>Table2[[#This Row],[Total Sales]]-Table2[[#This Row],[Discount Value]]</f>
        <v>30</v>
      </c>
      <c r="J10" s="18">
        <f>Table2[[#This Row],[Revenue]]/Table2[[#This Row],[Total Sales]]*100</f>
        <v>100</v>
      </c>
    </row>
    <row r="11" spans="1:10" x14ac:dyDescent="0.25">
      <c r="E11" s="2">
        <v>44569</v>
      </c>
      <c r="F11" s="27">
        <v>60</v>
      </c>
      <c r="G11" s="31">
        <f>VLOOKUP(Table2[[#This Row],[Total Sales]],Table4[],2,TRUE)</f>
        <v>0</v>
      </c>
      <c r="H11" s="18">
        <f>Table2[[#This Row],[Total Sales]]*Table2[[#This Row],[Discount % To Be Calculated]]</f>
        <v>0</v>
      </c>
      <c r="I11" s="18">
        <f>Table2[[#This Row],[Total Sales]]-Table2[[#This Row],[Discount Value]]</f>
        <v>60</v>
      </c>
      <c r="J11" s="18">
        <f>Table2[[#This Row],[Revenue]]/Table2[[#This Row],[Total Sales]]*100</f>
        <v>100</v>
      </c>
    </row>
    <row r="12" spans="1:10" x14ac:dyDescent="0.25">
      <c r="E12" s="2">
        <v>44600</v>
      </c>
      <c r="F12" s="28">
        <v>75</v>
      </c>
      <c r="G12" s="31">
        <f>VLOOKUP(Table2[[#This Row],[Total Sales]],Table4[],2,TRUE)</f>
        <v>0</v>
      </c>
      <c r="H12" s="18">
        <f>Table2[[#This Row],[Total Sales]]*Table2[[#This Row],[Discount % To Be Calculated]]</f>
        <v>0</v>
      </c>
      <c r="I12" s="18">
        <f>Table2[[#This Row],[Total Sales]]-Table2[[#This Row],[Discount Value]]</f>
        <v>75</v>
      </c>
      <c r="J12" s="18">
        <f>Table2[[#This Row],[Revenue]]/Table2[[#This Row],[Total Sales]]*100</f>
        <v>100</v>
      </c>
    </row>
    <row r="13" spans="1:10" x14ac:dyDescent="0.25">
      <c r="E13" s="2">
        <v>44600</v>
      </c>
      <c r="F13" s="27">
        <v>100</v>
      </c>
      <c r="G13" s="31">
        <f>VLOOKUP(Table2[[#This Row],[Total Sales]],Table4[],2,TRUE)</f>
        <v>0.05</v>
      </c>
      <c r="H13" s="18">
        <f>Table2[[#This Row],[Total Sales]]*Table2[[#This Row],[Discount % To Be Calculated]]</f>
        <v>5</v>
      </c>
      <c r="I13" s="18">
        <f>Table2[[#This Row],[Total Sales]]-Table2[[#This Row],[Discount Value]]</f>
        <v>95</v>
      </c>
      <c r="J13" s="18">
        <f>Table2[[#This Row],[Revenue]]/Table2[[#This Row],[Total Sales]]*100</f>
        <v>95</v>
      </c>
    </row>
    <row r="14" spans="1:10" x14ac:dyDescent="0.25">
      <c r="E14" s="2">
        <v>44621</v>
      </c>
      <c r="F14" s="28">
        <v>300</v>
      </c>
      <c r="G14" s="31">
        <f>VLOOKUP(Table2[[#This Row],[Total Sales]],Table4[],2,TRUE)</f>
        <v>0.05</v>
      </c>
      <c r="H14" s="18">
        <f>Table2[[#This Row],[Total Sales]]*Table2[[#This Row],[Discount % To Be Calculated]]</f>
        <v>15</v>
      </c>
      <c r="I14" s="18">
        <f>Table2[[#This Row],[Total Sales]]-Table2[[#This Row],[Discount Value]]</f>
        <v>285</v>
      </c>
      <c r="J14" s="18">
        <f>Table2[[#This Row],[Revenue]]/Table2[[#This Row],[Total Sales]]*100</f>
        <v>95</v>
      </c>
    </row>
    <row r="15" spans="1:10" x14ac:dyDescent="0.25">
      <c r="E15" s="2">
        <v>44625</v>
      </c>
      <c r="F15" s="27">
        <v>45</v>
      </c>
      <c r="G15" s="31">
        <f>VLOOKUP(Table2[[#This Row],[Total Sales]],Table4[],2,TRUE)</f>
        <v>0</v>
      </c>
      <c r="H15" s="18">
        <f>Table2[[#This Row],[Total Sales]]*Table2[[#This Row],[Discount % To Be Calculated]]</f>
        <v>0</v>
      </c>
      <c r="I15" s="18">
        <f>Table2[[#This Row],[Total Sales]]-Table2[[#This Row],[Discount Value]]</f>
        <v>45</v>
      </c>
      <c r="J15" s="18">
        <f>Table2[[#This Row],[Revenue]]/Table2[[#This Row],[Total Sales]]*100</f>
        <v>100</v>
      </c>
    </row>
    <row r="16" spans="1:10" x14ac:dyDescent="0.25">
      <c r="E16" s="2">
        <v>44657</v>
      </c>
      <c r="F16" s="28">
        <v>80</v>
      </c>
      <c r="G16" s="31">
        <f>VLOOKUP(Table2[[#This Row],[Total Sales]],Table4[],2,TRUE)</f>
        <v>0</v>
      </c>
      <c r="H16" s="18">
        <f>Table2[[#This Row],[Total Sales]]*Table2[[#This Row],[Discount % To Be Calculated]]</f>
        <v>0</v>
      </c>
      <c r="I16" s="18">
        <f>Table2[[#This Row],[Total Sales]]-Table2[[#This Row],[Discount Value]]</f>
        <v>80</v>
      </c>
      <c r="J16" s="18">
        <f>Table2[[#This Row],[Revenue]]/Table2[[#This Row],[Total Sales]]*100</f>
        <v>100</v>
      </c>
    </row>
    <row r="17" spans="5:10" x14ac:dyDescent="0.25">
      <c r="E17" s="2">
        <v>44689</v>
      </c>
      <c r="F17" s="27">
        <v>10</v>
      </c>
      <c r="G17" s="31">
        <f>VLOOKUP(Table2[[#This Row],[Total Sales]],Table4[],2,TRUE)</f>
        <v>0</v>
      </c>
      <c r="H17" s="18">
        <f>Table2[[#This Row],[Total Sales]]*Table2[[#This Row],[Discount % To Be Calculated]]</f>
        <v>0</v>
      </c>
      <c r="I17" s="18">
        <f>Table2[[#This Row],[Total Sales]]-Table2[[#This Row],[Discount Value]]</f>
        <v>10</v>
      </c>
      <c r="J17" s="18">
        <f>Table2[[#This Row],[Revenue]]/Table2[[#This Row],[Total Sales]]*100</f>
        <v>100</v>
      </c>
    </row>
    <row r="18" spans="5:10" x14ac:dyDescent="0.25">
      <c r="E18" s="2">
        <v>44713</v>
      </c>
      <c r="F18" s="28">
        <v>250</v>
      </c>
      <c r="G18" s="31">
        <f>VLOOKUP(Table2[[#This Row],[Total Sales]],Table4[],2,TRUE)</f>
        <v>0.05</v>
      </c>
      <c r="H18" s="18">
        <f>Table2[[#This Row],[Total Sales]]*Table2[[#This Row],[Discount % To Be Calculated]]</f>
        <v>12.5</v>
      </c>
      <c r="I18" s="18">
        <f>Table2[[#This Row],[Total Sales]]-Table2[[#This Row],[Discount Value]]</f>
        <v>237.5</v>
      </c>
      <c r="J18" s="18">
        <f>Table2[[#This Row],[Revenue]]/Table2[[#This Row],[Total Sales]]*100</f>
        <v>95</v>
      </c>
    </row>
    <row r="19" spans="5:10" x14ac:dyDescent="0.25">
      <c r="E19" s="2">
        <v>44747</v>
      </c>
      <c r="F19" s="27">
        <v>120</v>
      </c>
      <c r="G19" s="31">
        <f>VLOOKUP(Table2[[#This Row],[Total Sales]],Table4[],2,TRUE)</f>
        <v>0.05</v>
      </c>
      <c r="H19" s="18">
        <f>Table2[[#This Row],[Total Sales]]*Table2[[#This Row],[Discount % To Be Calculated]]</f>
        <v>6</v>
      </c>
      <c r="I19" s="18">
        <f>Table2[[#This Row],[Total Sales]]-Table2[[#This Row],[Discount Value]]</f>
        <v>114</v>
      </c>
      <c r="J19" s="18">
        <f>Table2[[#This Row],[Revenue]]/Table2[[#This Row],[Total Sales]]*100</f>
        <v>95</v>
      </c>
    </row>
    <row r="20" spans="5:10" x14ac:dyDescent="0.25">
      <c r="E20" s="2">
        <v>44780</v>
      </c>
      <c r="F20" s="28">
        <v>70</v>
      </c>
      <c r="G20" s="31">
        <f>VLOOKUP(Table2[[#This Row],[Total Sales]],Table4[],2,TRUE)</f>
        <v>0</v>
      </c>
      <c r="H20" s="18">
        <f>Table2[[#This Row],[Total Sales]]*Table2[[#This Row],[Discount % To Be Calculated]]</f>
        <v>0</v>
      </c>
      <c r="I20" s="18">
        <f>Table2[[#This Row],[Total Sales]]-Table2[[#This Row],[Discount Value]]</f>
        <v>70</v>
      </c>
      <c r="J20" s="18">
        <f>Table2[[#This Row],[Revenue]]/Table2[[#This Row],[Total Sales]]*100</f>
        <v>100</v>
      </c>
    </row>
    <row r="21" spans="5:10" x14ac:dyDescent="0.25">
      <c r="E21" s="2">
        <v>44813</v>
      </c>
      <c r="F21" s="27">
        <v>90</v>
      </c>
      <c r="G21" s="31">
        <f>VLOOKUP(Table2[[#This Row],[Total Sales]],Table4[],2,TRUE)</f>
        <v>0</v>
      </c>
      <c r="H21" s="18">
        <f>Table2[[#This Row],[Total Sales]]*Table2[[#This Row],[Discount % To Be Calculated]]</f>
        <v>0</v>
      </c>
      <c r="I21" s="18">
        <f>Table2[[#This Row],[Total Sales]]-Table2[[#This Row],[Discount Value]]</f>
        <v>90</v>
      </c>
      <c r="J21" s="18">
        <f>Table2[[#This Row],[Revenue]]/Table2[[#This Row],[Total Sales]]*100</f>
        <v>100</v>
      </c>
    </row>
    <row r="22" spans="5:10" x14ac:dyDescent="0.25">
      <c r="E22" s="2">
        <v>44782</v>
      </c>
      <c r="F22" s="28">
        <v>80</v>
      </c>
      <c r="G22" s="31">
        <f>VLOOKUP(Table2[[#This Row],[Total Sales]],Table4[],2,TRUE)</f>
        <v>0</v>
      </c>
      <c r="H22" s="18">
        <f>Table2[[#This Row],[Total Sales]]*Table2[[#This Row],[Discount % To Be Calculated]]</f>
        <v>0</v>
      </c>
      <c r="I22" s="18">
        <f>Table2[[#This Row],[Total Sales]]-Table2[[#This Row],[Discount Value]]</f>
        <v>80</v>
      </c>
      <c r="J22" s="18">
        <f>Table2[[#This Row],[Revenue]]/Table2[[#This Row],[Total Sales]]*100</f>
        <v>100</v>
      </c>
    </row>
    <row r="23" spans="5:10" x14ac:dyDescent="0.25">
      <c r="E23" s="2">
        <v>44569</v>
      </c>
      <c r="F23" s="27">
        <v>35</v>
      </c>
      <c r="G23" s="31">
        <f>VLOOKUP(Table2[[#This Row],[Total Sales]],Table4[],2,TRUE)</f>
        <v>0</v>
      </c>
      <c r="H23" s="18">
        <f>Table2[[#This Row],[Total Sales]]*Table2[[#This Row],[Discount % To Be Calculated]]</f>
        <v>0</v>
      </c>
      <c r="I23" s="18">
        <f>Table2[[#This Row],[Total Sales]]-Table2[[#This Row],[Discount Value]]</f>
        <v>35</v>
      </c>
      <c r="J23" s="18">
        <f>Table2[[#This Row],[Revenue]]/Table2[[#This Row],[Total Sales]]*100</f>
        <v>100</v>
      </c>
    </row>
    <row r="24" spans="5:10" x14ac:dyDescent="0.25">
      <c r="E24" s="2">
        <v>44778</v>
      </c>
      <c r="F24" s="28">
        <v>50</v>
      </c>
      <c r="G24" s="31">
        <f>VLOOKUP(Table2[[#This Row],[Total Sales]],Table4[],2,TRUE)</f>
        <v>0</v>
      </c>
      <c r="H24" s="18">
        <f>Table2[[#This Row],[Total Sales]]*Table2[[#This Row],[Discount % To Be Calculated]]</f>
        <v>0</v>
      </c>
      <c r="I24" s="18">
        <f>Table2[[#This Row],[Total Sales]]-Table2[[#This Row],[Discount Value]]</f>
        <v>50</v>
      </c>
      <c r="J24" s="18">
        <f>Table2[[#This Row],[Revenue]]/Table2[[#This Row],[Total Sales]]*100</f>
        <v>100</v>
      </c>
    </row>
    <row r="25" spans="5:10" x14ac:dyDescent="0.25">
      <c r="E25" s="2">
        <v>44931</v>
      </c>
      <c r="F25" s="27">
        <v>400</v>
      </c>
      <c r="G25" s="31">
        <f>VLOOKUP(Table2[[#This Row],[Total Sales]],Table4[],2,TRUE)</f>
        <v>0.05</v>
      </c>
      <c r="H25" s="18">
        <f>Table2[[#This Row],[Total Sales]]*Table2[[#This Row],[Discount % To Be Calculated]]</f>
        <v>20</v>
      </c>
      <c r="I25" s="18">
        <f>Table2[[#This Row],[Total Sales]]-Table2[[#This Row],[Discount Value]]</f>
        <v>380</v>
      </c>
      <c r="J25" s="18">
        <f>Table2[[#This Row],[Revenue]]/Table2[[#This Row],[Total Sales]]*100</f>
        <v>95</v>
      </c>
    </row>
    <row r="26" spans="5:10" x14ac:dyDescent="0.25">
      <c r="E26" s="2">
        <v>44935</v>
      </c>
      <c r="F26" s="28">
        <v>95</v>
      </c>
      <c r="G26" s="31">
        <f>VLOOKUP(Table2[[#This Row],[Total Sales]],Table4[],2,TRUE)</f>
        <v>0</v>
      </c>
      <c r="H26" s="18">
        <f>Table2[[#This Row],[Total Sales]]*Table2[[#This Row],[Discount % To Be Calculated]]</f>
        <v>0</v>
      </c>
      <c r="I26" s="18">
        <f>Table2[[#This Row],[Total Sales]]-Table2[[#This Row],[Discount Value]]</f>
        <v>95</v>
      </c>
      <c r="J26" s="18">
        <f>Table2[[#This Row],[Revenue]]/Table2[[#This Row],[Total Sales]]*100</f>
        <v>100</v>
      </c>
    </row>
    <row r="27" spans="5:10" x14ac:dyDescent="0.25">
      <c r="E27" s="2">
        <v>44966</v>
      </c>
      <c r="F27" s="27">
        <v>800</v>
      </c>
      <c r="G27" s="31">
        <f>VLOOKUP(Table2[[#This Row],[Total Sales]],Table4[],2,TRUE)</f>
        <v>0.1</v>
      </c>
      <c r="H27" s="18">
        <f>Table2[[#This Row],[Total Sales]]*Table2[[#This Row],[Discount % To Be Calculated]]</f>
        <v>80</v>
      </c>
      <c r="I27" s="18">
        <f>Table2[[#This Row],[Total Sales]]-Table2[[#This Row],[Discount Value]]</f>
        <v>720</v>
      </c>
      <c r="J27" s="18">
        <f>Table2[[#This Row],[Revenue]]/Table2[[#This Row],[Total Sales]]*100</f>
        <v>90</v>
      </c>
    </row>
    <row r="28" spans="5:10" x14ac:dyDescent="0.25">
      <c r="E28" s="2">
        <v>44993</v>
      </c>
      <c r="F28" s="28">
        <v>120</v>
      </c>
      <c r="G28" s="31">
        <f>VLOOKUP(Table2[[#This Row],[Total Sales]],Table4[],2,TRUE)</f>
        <v>0.05</v>
      </c>
      <c r="H28" s="18">
        <f>Table2[[#This Row],[Total Sales]]*Table2[[#This Row],[Discount % To Be Calculated]]</f>
        <v>6</v>
      </c>
      <c r="I28" s="18">
        <f>Table2[[#This Row],[Total Sales]]-Table2[[#This Row],[Discount Value]]</f>
        <v>114</v>
      </c>
      <c r="J28" s="18">
        <f>Table2[[#This Row],[Revenue]]/Table2[[#This Row],[Total Sales]]*100</f>
        <v>95</v>
      </c>
    </row>
    <row r="29" spans="5:10" x14ac:dyDescent="0.25">
      <c r="E29" s="2">
        <v>45023</v>
      </c>
      <c r="F29" s="27">
        <v>70</v>
      </c>
      <c r="G29" s="31">
        <f>VLOOKUP(Table2[[#This Row],[Total Sales]],Table4[],2,TRUE)</f>
        <v>0</v>
      </c>
      <c r="H29" s="18">
        <f>Table2[[#This Row],[Total Sales]]*Table2[[#This Row],[Discount % To Be Calculated]]</f>
        <v>0</v>
      </c>
      <c r="I29" s="18">
        <f>Table2[[#This Row],[Total Sales]]-Table2[[#This Row],[Discount Value]]</f>
        <v>70</v>
      </c>
      <c r="J29" s="18">
        <f>Table2[[#This Row],[Revenue]]/Table2[[#This Row],[Total Sales]]*100</f>
        <v>100</v>
      </c>
    </row>
    <row r="30" spans="5:10" x14ac:dyDescent="0.25">
      <c r="E30" s="2">
        <v>45047</v>
      </c>
      <c r="F30" s="28">
        <v>100</v>
      </c>
      <c r="G30" s="31">
        <f>VLOOKUP(Table2[[#This Row],[Total Sales]],Table4[],2,TRUE)</f>
        <v>0.05</v>
      </c>
      <c r="H30" s="18">
        <f>Table2[[#This Row],[Total Sales]]*Table2[[#This Row],[Discount % To Be Calculated]]</f>
        <v>5</v>
      </c>
      <c r="I30" s="18">
        <f>Table2[[#This Row],[Total Sales]]-Table2[[#This Row],[Discount Value]]</f>
        <v>95</v>
      </c>
      <c r="J30" s="18">
        <f>Table2[[#This Row],[Revenue]]/Table2[[#This Row],[Total Sales]]*100</f>
        <v>95</v>
      </c>
    </row>
    <row r="31" spans="5:10" x14ac:dyDescent="0.25">
      <c r="E31" s="2">
        <v>45082</v>
      </c>
      <c r="F31" s="27">
        <v>40</v>
      </c>
      <c r="G31" s="31">
        <f>VLOOKUP(Table2[[#This Row],[Total Sales]],Table4[],2,TRUE)</f>
        <v>0</v>
      </c>
      <c r="H31" s="18">
        <f>Table2[[#This Row],[Total Sales]]*Table2[[#This Row],[Discount % To Be Calculated]]</f>
        <v>0</v>
      </c>
      <c r="I31" s="18">
        <f>Table2[[#This Row],[Total Sales]]-Table2[[#This Row],[Discount Value]]</f>
        <v>40</v>
      </c>
      <c r="J31" s="18">
        <f>Table2[[#This Row],[Revenue]]/Table2[[#This Row],[Total Sales]]*100</f>
        <v>100</v>
      </c>
    </row>
    <row r="32" spans="5:10" x14ac:dyDescent="0.25">
      <c r="E32" s="2">
        <v>45112</v>
      </c>
      <c r="F32" s="28">
        <v>90</v>
      </c>
      <c r="G32" s="31">
        <f>VLOOKUP(Table2[[#This Row],[Total Sales]],Table4[],2,TRUE)</f>
        <v>0</v>
      </c>
      <c r="H32" s="18">
        <f>Table2[[#This Row],[Total Sales]]*Table2[[#This Row],[Discount % To Be Calculated]]</f>
        <v>0</v>
      </c>
      <c r="I32" s="18">
        <f>Table2[[#This Row],[Total Sales]]-Table2[[#This Row],[Discount Value]]</f>
        <v>90</v>
      </c>
      <c r="J32" s="18">
        <f>Table2[[#This Row],[Revenue]]/Table2[[#This Row],[Total Sales]]*100</f>
        <v>100</v>
      </c>
    </row>
    <row r="33" spans="5:10" x14ac:dyDescent="0.25">
      <c r="E33" s="2">
        <v>45143</v>
      </c>
      <c r="F33" s="27">
        <v>180</v>
      </c>
      <c r="G33" s="31">
        <f>VLOOKUP(Table2[[#This Row],[Total Sales]],Table4[],2,TRUE)</f>
        <v>0.05</v>
      </c>
      <c r="H33" s="18">
        <f>Table2[[#This Row],[Total Sales]]*Table2[[#This Row],[Discount % To Be Calculated]]</f>
        <v>9</v>
      </c>
      <c r="I33" s="18">
        <f>Table2[[#This Row],[Total Sales]]-Table2[[#This Row],[Discount Value]]</f>
        <v>171</v>
      </c>
      <c r="J33" s="18">
        <f>Table2[[#This Row],[Revenue]]/Table2[[#This Row],[Total Sales]]*100</f>
        <v>95</v>
      </c>
    </row>
    <row r="34" spans="5:10" x14ac:dyDescent="0.25">
      <c r="E34" s="2">
        <v>45171</v>
      </c>
      <c r="F34" s="28">
        <v>150</v>
      </c>
      <c r="G34" s="31">
        <f>VLOOKUP(Table2[[#This Row],[Total Sales]],Table4[],2,TRUE)</f>
        <v>0.05</v>
      </c>
      <c r="H34" s="18">
        <f>Table2[[#This Row],[Total Sales]]*Table2[[#This Row],[Discount % To Be Calculated]]</f>
        <v>7.5</v>
      </c>
      <c r="I34" s="18">
        <f>Table2[[#This Row],[Total Sales]]-Table2[[#This Row],[Discount Value]]</f>
        <v>142.5</v>
      </c>
      <c r="J34" s="18">
        <f>Table2[[#This Row],[Revenue]]/Table2[[#This Row],[Total Sales]]*100</f>
        <v>95</v>
      </c>
    </row>
    <row r="35" spans="5:10" x14ac:dyDescent="0.25">
      <c r="E35" s="2">
        <v>44928</v>
      </c>
      <c r="F35" s="27">
        <v>350</v>
      </c>
      <c r="G35" s="31">
        <f>VLOOKUP(Table2[[#This Row],[Total Sales]],Table4[],2,TRUE)</f>
        <v>0.05</v>
      </c>
      <c r="H35" s="18">
        <f>Table2[[#This Row],[Total Sales]]*Table2[[#This Row],[Discount % To Be Calculated]]</f>
        <v>17.5</v>
      </c>
      <c r="I35" s="18">
        <f>Table2[[#This Row],[Total Sales]]-Table2[[#This Row],[Discount Value]]</f>
        <v>332.5</v>
      </c>
      <c r="J35" s="18">
        <f>Table2[[#This Row],[Revenue]]/Table2[[#This Row],[Total Sales]]*100</f>
        <v>95</v>
      </c>
    </row>
    <row r="36" spans="5:10" x14ac:dyDescent="0.25">
      <c r="E36" s="2">
        <v>44927</v>
      </c>
      <c r="F36" s="28">
        <v>110</v>
      </c>
      <c r="G36" s="31">
        <f>VLOOKUP(Table2[[#This Row],[Total Sales]],Table4[],2,TRUE)</f>
        <v>0.05</v>
      </c>
      <c r="H36" s="18">
        <f>Table2[[#This Row],[Total Sales]]*Table2[[#This Row],[Discount % To Be Calculated]]</f>
        <v>5.5</v>
      </c>
      <c r="I36" s="18">
        <f>Table2[[#This Row],[Total Sales]]-Table2[[#This Row],[Discount Value]]</f>
        <v>104.5</v>
      </c>
      <c r="J36" s="18">
        <f>Table2[[#This Row],[Revenue]]/Table2[[#This Row],[Total Sales]]*100</f>
        <v>95</v>
      </c>
    </row>
    <row r="37" spans="5:10" x14ac:dyDescent="0.25">
      <c r="E37" s="2">
        <v>44931</v>
      </c>
      <c r="F37" s="27">
        <v>50</v>
      </c>
      <c r="G37" s="31">
        <f>VLOOKUP(Table2[[#This Row],[Total Sales]],Table4[],2,TRUE)</f>
        <v>0</v>
      </c>
      <c r="H37" s="18">
        <f>Table2[[#This Row],[Total Sales]]*Table2[[#This Row],[Discount % To Be Calculated]]</f>
        <v>0</v>
      </c>
      <c r="I37" s="18">
        <f>Table2[[#This Row],[Total Sales]]-Table2[[#This Row],[Discount Value]]</f>
        <v>50</v>
      </c>
      <c r="J37" s="18">
        <f>Table2[[#This Row],[Revenue]]/Table2[[#This Row],[Total Sales]]*100</f>
        <v>100</v>
      </c>
    </row>
    <row r="38" spans="5:10" x14ac:dyDescent="0.25">
      <c r="E38" s="2">
        <v>45296</v>
      </c>
      <c r="F38" s="28">
        <v>1300</v>
      </c>
      <c r="G38" s="31">
        <f>VLOOKUP(Table2[[#This Row],[Total Sales]],Table4[],2,TRUE)</f>
        <v>0.15</v>
      </c>
      <c r="H38" s="18">
        <f>Table2[[#This Row],[Total Sales]]*Table2[[#This Row],[Discount % To Be Calculated]]</f>
        <v>195</v>
      </c>
      <c r="I38" s="18">
        <f>Table2[[#This Row],[Total Sales]]-Table2[[#This Row],[Discount Value]]</f>
        <v>1105</v>
      </c>
      <c r="J38" s="18">
        <f>Table2[[#This Row],[Revenue]]/Table2[[#This Row],[Total Sales]]*100</f>
        <v>85</v>
      </c>
    </row>
    <row r="39" spans="5:10" x14ac:dyDescent="0.25">
      <c r="E39" s="2">
        <v>45292</v>
      </c>
      <c r="F39" s="27">
        <v>180</v>
      </c>
      <c r="G39" s="31">
        <f>VLOOKUP(Table2[[#This Row],[Total Sales]],Table4[],2,TRUE)</f>
        <v>0.05</v>
      </c>
      <c r="H39" s="18">
        <f>Table2[[#This Row],[Total Sales]]*Table2[[#This Row],[Discount % To Be Calculated]]</f>
        <v>9</v>
      </c>
      <c r="I39" s="18">
        <f>Table2[[#This Row],[Total Sales]]-Table2[[#This Row],[Discount Value]]</f>
        <v>171</v>
      </c>
      <c r="J39" s="18">
        <f>Table2[[#This Row],[Revenue]]/Table2[[#This Row],[Total Sales]]*100</f>
        <v>95</v>
      </c>
    </row>
    <row r="40" spans="5:10" x14ac:dyDescent="0.25">
      <c r="E40" s="2">
        <v>45323</v>
      </c>
      <c r="F40" s="28">
        <v>150</v>
      </c>
      <c r="G40" s="31">
        <f>VLOOKUP(Table2[[#This Row],[Total Sales]],Table4[],2,TRUE)</f>
        <v>0.05</v>
      </c>
      <c r="H40" s="18">
        <f>Table2[[#This Row],[Total Sales]]*Table2[[#This Row],[Discount % To Be Calculated]]</f>
        <v>7.5</v>
      </c>
      <c r="I40" s="18">
        <f>Table2[[#This Row],[Total Sales]]-Table2[[#This Row],[Discount Value]]</f>
        <v>142.5</v>
      </c>
      <c r="J40" s="18">
        <f>Table2[[#This Row],[Revenue]]/Table2[[#This Row],[Total Sales]]*100</f>
        <v>95</v>
      </c>
    </row>
    <row r="41" spans="5:10" x14ac:dyDescent="0.25">
      <c r="E41" s="2">
        <v>45353</v>
      </c>
      <c r="F41" s="27">
        <v>130</v>
      </c>
      <c r="G41" s="31">
        <f>VLOOKUP(Table2[[#This Row],[Total Sales]],Table4[],2,TRUE)</f>
        <v>0.05</v>
      </c>
      <c r="H41" s="18">
        <f>Table2[[#This Row],[Total Sales]]*Table2[[#This Row],[Discount % To Be Calculated]]</f>
        <v>6.5</v>
      </c>
      <c r="I41" s="18">
        <f>Table2[[#This Row],[Total Sales]]-Table2[[#This Row],[Discount Value]]</f>
        <v>123.5</v>
      </c>
      <c r="J41" s="18">
        <f>Table2[[#This Row],[Revenue]]/Table2[[#This Row],[Total Sales]]*100</f>
        <v>95</v>
      </c>
    </row>
    <row r="42" spans="5:10" x14ac:dyDescent="0.25">
      <c r="E42" s="2">
        <v>45384</v>
      </c>
      <c r="F42" s="28">
        <v>70</v>
      </c>
      <c r="G42" s="31">
        <f>VLOOKUP(Table2[[#This Row],[Total Sales]],Table4[],2,TRUE)</f>
        <v>0</v>
      </c>
      <c r="H42" s="18">
        <f>Table2[[#This Row],[Total Sales]]*Table2[[#This Row],[Discount % To Be Calculated]]</f>
        <v>0</v>
      </c>
      <c r="I42" s="18">
        <f>Table2[[#This Row],[Total Sales]]-Table2[[#This Row],[Discount Value]]</f>
        <v>70</v>
      </c>
      <c r="J42" s="18">
        <f>Table2[[#This Row],[Revenue]]/Table2[[#This Row],[Total Sales]]*100</f>
        <v>100</v>
      </c>
    </row>
    <row r="43" spans="5:10" x14ac:dyDescent="0.25">
      <c r="E43" s="2">
        <v>45413</v>
      </c>
      <c r="F43" s="27">
        <v>100</v>
      </c>
      <c r="G43" s="31">
        <f>VLOOKUP(Table2[[#This Row],[Total Sales]],Table4[],2,TRUE)</f>
        <v>0.05</v>
      </c>
      <c r="H43" s="18">
        <f>Table2[[#This Row],[Total Sales]]*Table2[[#This Row],[Discount % To Be Calculated]]</f>
        <v>5</v>
      </c>
      <c r="I43" s="18">
        <f>Table2[[#This Row],[Total Sales]]-Table2[[#This Row],[Discount Value]]</f>
        <v>95</v>
      </c>
      <c r="J43" s="18">
        <f>Table2[[#This Row],[Revenue]]/Table2[[#This Row],[Total Sales]]*100</f>
        <v>95</v>
      </c>
    </row>
    <row r="44" spans="5:10" x14ac:dyDescent="0.25">
      <c r="E44" s="2">
        <v>45444</v>
      </c>
      <c r="F44" s="28">
        <v>200</v>
      </c>
      <c r="G44" s="31">
        <f>VLOOKUP(Table2[[#This Row],[Total Sales]],Table4[],2,TRUE)</f>
        <v>0.05</v>
      </c>
      <c r="H44" s="18">
        <f>Table2[[#This Row],[Total Sales]]*Table2[[#This Row],[Discount % To Be Calculated]]</f>
        <v>10</v>
      </c>
      <c r="I44" s="18">
        <f>Table2[[#This Row],[Total Sales]]-Table2[[#This Row],[Discount Value]]</f>
        <v>190</v>
      </c>
      <c r="J44" s="18">
        <f>Table2[[#This Row],[Revenue]]/Table2[[#This Row],[Total Sales]]*100</f>
        <v>95</v>
      </c>
    </row>
    <row r="45" spans="5:10" x14ac:dyDescent="0.25">
      <c r="E45" s="2">
        <v>45474</v>
      </c>
      <c r="F45" s="27">
        <v>60</v>
      </c>
      <c r="G45" s="31">
        <f>VLOOKUP(Table2[[#This Row],[Total Sales]],Table4[],2,TRUE)</f>
        <v>0</v>
      </c>
      <c r="H45" s="18">
        <f>Table2[[#This Row],[Total Sales]]*Table2[[#This Row],[Discount % To Be Calculated]]</f>
        <v>0</v>
      </c>
      <c r="I45" s="18">
        <f>Table2[[#This Row],[Total Sales]]-Table2[[#This Row],[Discount Value]]</f>
        <v>60</v>
      </c>
      <c r="J45" s="18">
        <f>Table2[[#This Row],[Revenue]]/Table2[[#This Row],[Total Sales]]*100</f>
        <v>100</v>
      </c>
    </row>
    <row r="46" spans="5:10" x14ac:dyDescent="0.25">
      <c r="E46" s="2">
        <v>45506</v>
      </c>
      <c r="F46" s="28">
        <v>80</v>
      </c>
      <c r="G46" s="31">
        <f>VLOOKUP(Table2[[#This Row],[Total Sales]],Table4[],2,TRUE)</f>
        <v>0</v>
      </c>
      <c r="H46" s="18">
        <f>Table2[[#This Row],[Total Sales]]*Table2[[#This Row],[Discount % To Be Calculated]]</f>
        <v>0</v>
      </c>
      <c r="I46" s="18">
        <f>Table2[[#This Row],[Total Sales]]-Table2[[#This Row],[Discount Value]]</f>
        <v>80</v>
      </c>
      <c r="J46" s="18">
        <f>Table2[[#This Row],[Revenue]]/Table2[[#This Row],[Total Sales]]*100</f>
        <v>100</v>
      </c>
    </row>
    <row r="47" spans="5:10" x14ac:dyDescent="0.25">
      <c r="E47" s="2">
        <v>45537</v>
      </c>
      <c r="F47" s="27">
        <v>20</v>
      </c>
      <c r="G47" s="31">
        <f>VLOOKUP(Table2[[#This Row],[Total Sales]],Table4[],2,TRUE)</f>
        <v>0</v>
      </c>
      <c r="H47" s="18">
        <f>Table2[[#This Row],[Total Sales]]*Table2[[#This Row],[Discount % To Be Calculated]]</f>
        <v>0</v>
      </c>
      <c r="I47" s="18">
        <f>Table2[[#This Row],[Total Sales]]-Table2[[#This Row],[Discount Value]]</f>
        <v>20</v>
      </c>
      <c r="J47" s="18">
        <f>Table2[[#This Row],[Revenue]]/Table2[[#This Row],[Total Sales]]*100</f>
        <v>100</v>
      </c>
    </row>
    <row r="48" spans="5:10" x14ac:dyDescent="0.25">
      <c r="E48" s="2">
        <v>45538</v>
      </c>
      <c r="F48" s="28">
        <v>450</v>
      </c>
      <c r="G48" s="31">
        <f>VLOOKUP(Table2[[#This Row],[Total Sales]],Table4[],2,TRUE)</f>
        <v>0.05</v>
      </c>
      <c r="H48" s="18">
        <f>Table2[[#This Row],[Total Sales]]*Table2[[#This Row],[Discount % To Be Calculated]]</f>
        <v>22.5</v>
      </c>
      <c r="I48" s="18">
        <f>Table2[[#This Row],[Total Sales]]-Table2[[#This Row],[Discount Value]]</f>
        <v>427.5</v>
      </c>
      <c r="J48" s="18">
        <f>Table2[[#This Row],[Revenue]]/Table2[[#This Row],[Total Sales]]*100</f>
        <v>95</v>
      </c>
    </row>
    <row r="49" spans="1:10" x14ac:dyDescent="0.25">
      <c r="E49" s="2">
        <v>45296</v>
      </c>
      <c r="F49" s="11">
        <v>25</v>
      </c>
      <c r="G49" s="31">
        <f>VLOOKUP(Table2[[#This Row],[Total Sales]],Table4[],2,TRUE)</f>
        <v>0</v>
      </c>
      <c r="H49" s="18">
        <f>Table2[[#This Row],[Total Sales]]*Table2[[#This Row],[Discount % To Be Calculated]]</f>
        <v>0</v>
      </c>
      <c r="I49" s="18">
        <f>Table2[[#This Row],[Total Sales]]-Table2[[#This Row],[Discount Value]]</f>
        <v>25</v>
      </c>
      <c r="J49" s="18">
        <f>Table2[[#This Row],[Revenue]]/Table2[[#This Row],[Total Sales]]*100</f>
        <v>100</v>
      </c>
    </row>
    <row r="51" spans="1:10" ht="18.75" x14ac:dyDescent="0.3">
      <c r="A51" s="25" t="s">
        <v>244</v>
      </c>
    </row>
    <row r="53" spans="1:10" x14ac:dyDescent="0.25">
      <c r="B53" t="s">
        <v>63</v>
      </c>
      <c r="C53" t="s">
        <v>64</v>
      </c>
      <c r="D53" t="s">
        <v>65</v>
      </c>
      <c r="E53" t="s">
        <v>66</v>
      </c>
      <c r="H53" t="s">
        <v>245</v>
      </c>
      <c r="I53" t="s">
        <v>246</v>
      </c>
    </row>
    <row r="54" spans="1:10" x14ac:dyDescent="0.25">
      <c r="B54" t="s">
        <v>79</v>
      </c>
      <c r="C54">
        <v>17</v>
      </c>
      <c r="D54">
        <v>14</v>
      </c>
      <c r="E54">
        <v>12</v>
      </c>
      <c r="H54" t="s">
        <v>64</v>
      </c>
      <c r="I54" t="str">
        <f>HLOOKUP(Table3[[#This Row],[Categories]],B54:E57,3,TRUE)</f>
        <v>Google Ads</v>
      </c>
    </row>
    <row r="55" spans="1:10" x14ac:dyDescent="0.25">
      <c r="B55" t="s">
        <v>109</v>
      </c>
      <c r="C55">
        <v>7</v>
      </c>
      <c r="D55">
        <v>5</v>
      </c>
      <c r="E55">
        <v>10</v>
      </c>
    </row>
    <row r="56" spans="1:10" x14ac:dyDescent="0.25">
      <c r="B56" t="s">
        <v>100</v>
      </c>
      <c r="C56">
        <v>10</v>
      </c>
      <c r="D56">
        <v>14</v>
      </c>
      <c r="E56">
        <v>12</v>
      </c>
    </row>
    <row r="57" spans="1:10" x14ac:dyDescent="0.25">
      <c r="B57" t="s">
        <v>91</v>
      </c>
      <c r="C57">
        <v>11</v>
      </c>
      <c r="D57">
        <v>13</v>
      </c>
      <c r="E57">
        <v>15</v>
      </c>
    </row>
    <row r="58" spans="1:10" x14ac:dyDescent="0.25">
      <c r="B58" t="s">
        <v>211</v>
      </c>
      <c r="C58">
        <f>SUM(C54:C57)</f>
        <v>45</v>
      </c>
      <c r="D58">
        <f t="shared" ref="D58:E58" si="0">SUM(D54:D57)</f>
        <v>46</v>
      </c>
      <c r="E58">
        <f t="shared" si="0"/>
        <v>49</v>
      </c>
    </row>
    <row r="62" spans="1:10" ht="18.75" x14ac:dyDescent="0.3">
      <c r="A62" s="25" t="s">
        <v>248</v>
      </c>
    </row>
    <row r="66" spans="1:6" x14ac:dyDescent="0.25">
      <c r="A66" t="s">
        <v>63</v>
      </c>
      <c r="B66" t="s">
        <v>64</v>
      </c>
      <c r="C66" t="s">
        <v>66</v>
      </c>
      <c r="E66" t="s">
        <v>247</v>
      </c>
      <c r="F66" t="s">
        <v>64</v>
      </c>
    </row>
    <row r="67" spans="1:6" x14ac:dyDescent="0.25">
      <c r="A67" t="s">
        <v>79</v>
      </c>
      <c r="B67">
        <v>5000</v>
      </c>
      <c r="C67">
        <v>100</v>
      </c>
      <c r="E67">
        <v>100</v>
      </c>
      <c r="F67">
        <f>INDEX(Table5[],MATCH(Table8[[#This Row],[Campaign Order]],Table5[Campaign Orders],0),MATCH(Table8[[#Headers],[Spend]],Table5[#Headers],0))</f>
        <v>5000</v>
      </c>
    </row>
    <row r="68" spans="1:6" x14ac:dyDescent="0.25">
      <c r="A68" t="s">
        <v>91</v>
      </c>
      <c r="B68">
        <v>3000</v>
      </c>
      <c r="C68">
        <v>50</v>
      </c>
      <c r="E68">
        <v>50</v>
      </c>
      <c r="F68">
        <f>INDEX(Table5[],MATCH(Table8[[#This Row],[Campaign Order]],Table5[Campaign Orders],0),MATCH(Table8[[#Headers],[Spend]],Table5[#Headers],0))</f>
        <v>3000</v>
      </c>
    </row>
    <row r="69" spans="1:6" x14ac:dyDescent="0.25">
      <c r="A69" t="s">
        <v>100</v>
      </c>
      <c r="B69">
        <v>7000</v>
      </c>
      <c r="C69">
        <v>120</v>
      </c>
      <c r="E69">
        <v>120</v>
      </c>
      <c r="F69">
        <f>INDEX(Table5[],MATCH(Table8[[#This Row],[Campaign Order]],Table5[Campaign Orders],0),MATCH(Table8[[#Headers],[Spend]],Table5[#Headers],0))</f>
        <v>7000</v>
      </c>
    </row>
    <row r="70" spans="1:6" x14ac:dyDescent="0.25">
      <c r="A70" t="s">
        <v>79</v>
      </c>
      <c r="B70">
        <v>5000</v>
      </c>
      <c r="C70">
        <v>100</v>
      </c>
      <c r="E70">
        <v>100</v>
      </c>
      <c r="F70">
        <f>INDEX(Table5[],MATCH(Table8[[#This Row],[Campaign Order]],Table5[Campaign Orders],0),MATCH(Table8[[#Headers],[Spend]],Table5[#Headers],0))</f>
        <v>5000</v>
      </c>
    </row>
    <row r="71" spans="1:6" x14ac:dyDescent="0.25">
      <c r="A71" t="s">
        <v>109</v>
      </c>
      <c r="B71">
        <v>4000</v>
      </c>
      <c r="C71">
        <v>70</v>
      </c>
      <c r="E71">
        <v>70</v>
      </c>
      <c r="F71">
        <f>INDEX(Table5[],MATCH(Table8[[#This Row],[Campaign Order]],Table5[Campaign Orders],0),MATCH(Table8[[#Headers],[Spend]],Table5[#Headers],0))</f>
        <v>4000</v>
      </c>
    </row>
    <row r="72" spans="1:6" x14ac:dyDescent="0.25">
      <c r="A72" t="s">
        <v>79</v>
      </c>
      <c r="B72">
        <v>4500</v>
      </c>
      <c r="C72">
        <v>80</v>
      </c>
      <c r="E72">
        <v>80</v>
      </c>
      <c r="F72">
        <f>INDEX(Table5[],MATCH(Table8[[#This Row],[Campaign Order]],Table5[Campaign Orders],0),MATCH(Table8[[#Headers],[Spend]],Table5[#Headers],0))</f>
        <v>4500</v>
      </c>
    </row>
    <row r="73" spans="1:6" x14ac:dyDescent="0.25">
      <c r="A73" t="s">
        <v>91</v>
      </c>
      <c r="B73">
        <v>3500</v>
      </c>
      <c r="C73">
        <v>60</v>
      </c>
      <c r="E73">
        <v>60</v>
      </c>
      <c r="F73">
        <f>INDEX(Table5[],MATCH(Table8[[#This Row],[Campaign Order]],Table5[Campaign Orders],0),MATCH(Table8[[#Headers],[Spend]],Table5[#Headers],0))</f>
        <v>3500</v>
      </c>
    </row>
    <row r="74" spans="1:6" x14ac:dyDescent="0.25">
      <c r="A74" t="s">
        <v>100</v>
      </c>
      <c r="B74">
        <v>6000</v>
      </c>
      <c r="C74">
        <v>110</v>
      </c>
      <c r="E74">
        <v>110</v>
      </c>
      <c r="F74">
        <f>INDEX(Table5[],MATCH(Table8[[#This Row],[Campaign Order]],Table5[Campaign Orders],0),MATCH(Table8[[#Headers],[Spend]],Table5[#Headers],0))</f>
        <v>6000</v>
      </c>
    </row>
    <row r="75" spans="1:6" x14ac:dyDescent="0.25">
      <c r="A75" t="s">
        <v>79</v>
      </c>
      <c r="B75">
        <v>5500</v>
      </c>
      <c r="C75">
        <v>90</v>
      </c>
      <c r="E75">
        <v>90</v>
      </c>
      <c r="F75">
        <f>INDEX(Table5[],MATCH(Table8[[#This Row],[Campaign Order]],Table5[Campaign Orders],0),MATCH(Table8[[#Headers],[Spend]],Table5[#Headers],0))</f>
        <v>5500</v>
      </c>
    </row>
    <row r="76" spans="1:6" x14ac:dyDescent="0.25">
      <c r="A76" t="s">
        <v>109</v>
      </c>
      <c r="B76">
        <v>3800</v>
      </c>
      <c r="C76">
        <v>65</v>
      </c>
      <c r="E76">
        <v>65</v>
      </c>
      <c r="F76">
        <f>INDEX(Table5[],MATCH(Table8[[#This Row],[Campaign Order]],Table5[Campaign Orders],0),MATCH(Table8[[#Headers],[Spend]],Table5[#Headers],0))</f>
        <v>3800</v>
      </c>
    </row>
    <row r="77" spans="1:6" x14ac:dyDescent="0.25">
      <c r="A77" t="s">
        <v>79</v>
      </c>
      <c r="B77">
        <v>2000</v>
      </c>
      <c r="C77">
        <v>35</v>
      </c>
      <c r="E77">
        <v>35</v>
      </c>
      <c r="F77">
        <f>INDEX(Table5[],MATCH(Table8[[#This Row],[Campaign Order]],Table5[Campaign Orders],0),MATCH(Table8[[#Headers],[Spend]],Table5[#Headers],0))</f>
        <v>2000</v>
      </c>
    </row>
    <row r="78" spans="1:6" x14ac:dyDescent="0.25">
      <c r="A78" t="s">
        <v>100</v>
      </c>
      <c r="B78">
        <v>6500</v>
      </c>
      <c r="C78">
        <v>115</v>
      </c>
      <c r="E78">
        <v>115</v>
      </c>
      <c r="F78">
        <f>INDEX(Table5[],MATCH(Table8[[#This Row],[Campaign Order]],Table5[Campaign Orders],0),MATCH(Table8[[#Headers],[Spend]],Table5[#Headers],0))</f>
        <v>6500</v>
      </c>
    </row>
    <row r="79" spans="1:6" x14ac:dyDescent="0.25">
      <c r="A79" t="s">
        <v>91</v>
      </c>
      <c r="B79">
        <v>4200</v>
      </c>
      <c r="C79">
        <v>75</v>
      </c>
      <c r="E79">
        <v>75</v>
      </c>
      <c r="F79">
        <f>INDEX(Table5[],MATCH(Table8[[#This Row],[Campaign Order]],Table5[Campaign Orders],0),MATCH(Table8[[#Headers],[Spend]],Table5[#Headers],0))</f>
        <v>4200</v>
      </c>
    </row>
    <row r="80" spans="1:6" x14ac:dyDescent="0.25">
      <c r="A80" t="s">
        <v>79</v>
      </c>
      <c r="B80">
        <v>3000</v>
      </c>
      <c r="C80">
        <v>45</v>
      </c>
      <c r="E80">
        <v>45</v>
      </c>
      <c r="F80">
        <f>INDEX(Table5[],MATCH(Table8[[#This Row],[Campaign Order]],Table5[Campaign Orders],0),MATCH(Table8[[#Headers],[Spend]],Table5[#Headers],0))</f>
        <v>3000</v>
      </c>
    </row>
    <row r="81" spans="1:6" x14ac:dyDescent="0.25">
      <c r="A81" t="s">
        <v>109</v>
      </c>
      <c r="B81">
        <v>2800</v>
      </c>
      <c r="C81">
        <v>40</v>
      </c>
      <c r="E81">
        <v>40</v>
      </c>
      <c r="F81">
        <f>INDEX(Table5[],MATCH(Table8[[#This Row],[Campaign Order]],Table5[Campaign Orders],0),MATCH(Table8[[#Headers],[Spend]],Table5[#Headers],0))</f>
        <v>2800</v>
      </c>
    </row>
    <row r="82" spans="1:6" x14ac:dyDescent="0.25">
      <c r="A82" t="s">
        <v>100</v>
      </c>
      <c r="B82">
        <v>7200</v>
      </c>
      <c r="C82">
        <v>130</v>
      </c>
      <c r="E82">
        <v>130</v>
      </c>
      <c r="F82">
        <f>INDEX(Table5[],MATCH(Table8[[#This Row],[Campaign Order]],Table5[Campaign Orders],0),MATCH(Table8[[#Headers],[Spend]],Table5[#Headers],0))</f>
        <v>7200</v>
      </c>
    </row>
    <row r="83" spans="1:6" x14ac:dyDescent="0.25">
      <c r="A83" t="s">
        <v>79</v>
      </c>
      <c r="B83">
        <v>2700</v>
      </c>
      <c r="C83">
        <v>38</v>
      </c>
      <c r="E83">
        <v>38</v>
      </c>
      <c r="F83">
        <f>INDEX(Table5[],MATCH(Table8[[#This Row],[Campaign Order]],Table5[Campaign Orders],0),MATCH(Table8[[#Headers],[Spend]],Table5[#Headers],0))</f>
        <v>2700</v>
      </c>
    </row>
    <row r="84" spans="1:6" x14ac:dyDescent="0.25">
      <c r="A84" t="s">
        <v>91</v>
      </c>
      <c r="B84">
        <v>5000</v>
      </c>
      <c r="C84">
        <v>95</v>
      </c>
      <c r="E84">
        <v>95</v>
      </c>
      <c r="F84">
        <f>INDEX(Table5[],MATCH(Table8[[#This Row],[Campaign Order]],Table5[Campaign Orders],0),MATCH(Table8[[#Headers],[Spend]],Table5[#Headers],0))</f>
        <v>5000</v>
      </c>
    </row>
    <row r="85" spans="1:6" x14ac:dyDescent="0.25">
      <c r="A85" t="s">
        <v>79</v>
      </c>
      <c r="B85">
        <v>5000</v>
      </c>
      <c r="C85">
        <v>100</v>
      </c>
      <c r="E85">
        <v>100</v>
      </c>
      <c r="F85">
        <f>INDEX(Table5[],MATCH(Table8[[#This Row],[Campaign Order]],Table5[Campaign Orders],0),MATCH(Table8[[#Headers],[Spend]],Table5[#Headers],0))</f>
        <v>5000</v>
      </c>
    </row>
    <row r="86" spans="1:6" x14ac:dyDescent="0.25">
      <c r="A86" t="s">
        <v>91</v>
      </c>
      <c r="B86">
        <v>3000</v>
      </c>
      <c r="C86">
        <v>50</v>
      </c>
      <c r="E86">
        <v>50</v>
      </c>
      <c r="F86">
        <f>INDEX(Table5[],MATCH(Table8[[#This Row],[Campaign Order]],Table5[Campaign Orders],0),MATCH(Table8[[#Headers],[Spend]],Table5[#Headers],0))</f>
        <v>3000</v>
      </c>
    </row>
    <row r="87" spans="1:6" x14ac:dyDescent="0.25">
      <c r="A87" t="s">
        <v>79</v>
      </c>
      <c r="B87">
        <v>4500</v>
      </c>
      <c r="C87">
        <v>80</v>
      </c>
      <c r="E87">
        <v>80</v>
      </c>
      <c r="F87">
        <f>INDEX(Table5[],MATCH(Table8[[#This Row],[Campaign Order]],Table5[Campaign Orders],0),MATCH(Table8[[#Headers],[Spend]],Table5[#Headers],0))</f>
        <v>4500</v>
      </c>
    </row>
    <row r="88" spans="1:6" x14ac:dyDescent="0.25">
      <c r="A88" t="s">
        <v>100</v>
      </c>
      <c r="B88">
        <v>6000</v>
      </c>
      <c r="C88">
        <v>110</v>
      </c>
      <c r="E88">
        <v>110</v>
      </c>
      <c r="F88">
        <f>INDEX(Table5[],MATCH(Table8[[#This Row],[Campaign Order]],Table5[Campaign Orders],0),MATCH(Table8[[#Headers],[Spend]],Table5[#Headers],0))</f>
        <v>6000</v>
      </c>
    </row>
    <row r="89" spans="1:6" x14ac:dyDescent="0.25">
      <c r="A89" t="s">
        <v>91</v>
      </c>
      <c r="B89">
        <v>3500</v>
      </c>
      <c r="C89">
        <v>60</v>
      </c>
      <c r="E89">
        <v>60</v>
      </c>
      <c r="F89">
        <f>INDEX(Table5[],MATCH(Table8[[#This Row],[Campaign Order]],Table5[Campaign Orders],0),MATCH(Table8[[#Headers],[Spend]],Table5[#Headers],0))</f>
        <v>3500</v>
      </c>
    </row>
    <row r="90" spans="1:6" x14ac:dyDescent="0.25">
      <c r="A90" t="s">
        <v>79</v>
      </c>
      <c r="B90">
        <v>2000</v>
      </c>
      <c r="C90">
        <v>35</v>
      </c>
      <c r="E90">
        <v>35</v>
      </c>
      <c r="F90">
        <f>INDEX(Table5[],MATCH(Table8[[#This Row],[Campaign Order]],Table5[Campaign Orders],0),MATCH(Table8[[#Headers],[Spend]],Table5[#Headers],0))</f>
        <v>2000</v>
      </c>
    </row>
    <row r="91" spans="1:6" x14ac:dyDescent="0.25">
      <c r="A91" t="s">
        <v>109</v>
      </c>
      <c r="B91">
        <v>2800</v>
      </c>
      <c r="C91">
        <v>40</v>
      </c>
      <c r="E91">
        <v>40</v>
      </c>
      <c r="F91">
        <f>INDEX(Table5[],MATCH(Table8[[#This Row],[Campaign Order]],Table5[Campaign Orders],0),MATCH(Table8[[#Headers],[Spend]],Table5[#Headers],0))</f>
        <v>2800</v>
      </c>
    </row>
    <row r="92" spans="1:6" x14ac:dyDescent="0.25">
      <c r="A92" t="s">
        <v>100</v>
      </c>
      <c r="B92">
        <v>6500</v>
      </c>
      <c r="C92">
        <v>115</v>
      </c>
      <c r="E92">
        <v>115</v>
      </c>
      <c r="F92">
        <f>INDEX(Table5[],MATCH(Table8[[#This Row],[Campaign Order]],Table5[Campaign Orders],0),MATCH(Table8[[#Headers],[Spend]],Table5[#Headers],0))</f>
        <v>6500</v>
      </c>
    </row>
    <row r="93" spans="1:6" x14ac:dyDescent="0.25">
      <c r="A93" t="s">
        <v>79</v>
      </c>
      <c r="B93">
        <v>5500</v>
      </c>
      <c r="C93">
        <v>90</v>
      </c>
      <c r="E93">
        <v>90</v>
      </c>
      <c r="F93">
        <f>INDEX(Table5[],MATCH(Table8[[#This Row],[Campaign Order]],Table5[Campaign Orders],0),MATCH(Table8[[#Headers],[Spend]],Table5[#Headers],0))</f>
        <v>5500</v>
      </c>
    </row>
    <row r="94" spans="1:6" x14ac:dyDescent="0.25">
      <c r="A94" t="s">
        <v>91</v>
      </c>
      <c r="B94">
        <v>4000</v>
      </c>
      <c r="C94">
        <v>70</v>
      </c>
      <c r="E94">
        <v>70</v>
      </c>
      <c r="F94">
        <f>INDEX(Table5[],MATCH(Table8[[#This Row],[Campaign Order]],Table5[Campaign Orders],0),MATCH(Table8[[#Headers],[Spend]],Table5[#Headers],0))</f>
        <v>4000</v>
      </c>
    </row>
    <row r="95" spans="1:6" x14ac:dyDescent="0.25">
      <c r="A95" t="s">
        <v>100</v>
      </c>
      <c r="B95">
        <v>7200</v>
      </c>
      <c r="C95">
        <v>130</v>
      </c>
      <c r="E95">
        <v>130</v>
      </c>
      <c r="F95">
        <f>INDEX(Table5[],MATCH(Table8[[#This Row],[Campaign Order]],Table5[Campaign Orders],0),MATCH(Table8[[#Headers],[Spend]],Table5[#Headers],0))</f>
        <v>7200</v>
      </c>
    </row>
    <row r="96" spans="1:6" x14ac:dyDescent="0.25">
      <c r="A96" t="s">
        <v>109</v>
      </c>
      <c r="B96">
        <v>3800</v>
      </c>
      <c r="C96">
        <v>65</v>
      </c>
      <c r="E96">
        <v>65</v>
      </c>
      <c r="F96">
        <f>INDEX(Table5[],MATCH(Table8[[#This Row],[Campaign Order]],Table5[Campaign Orders],0),MATCH(Table8[[#Headers],[Spend]],Table5[#Headers],0))</f>
        <v>3800</v>
      </c>
    </row>
    <row r="97" spans="1:6" x14ac:dyDescent="0.25">
      <c r="A97" t="s">
        <v>79</v>
      </c>
      <c r="B97">
        <v>2700</v>
      </c>
      <c r="C97">
        <v>38</v>
      </c>
      <c r="E97">
        <v>38</v>
      </c>
      <c r="F97">
        <f>INDEX(Table5[],MATCH(Table8[[#This Row],[Campaign Order]],Table5[Campaign Orders],0),MATCH(Table8[[#Headers],[Spend]],Table5[#Headers],0))</f>
        <v>2700</v>
      </c>
    </row>
    <row r="98" spans="1:6" x14ac:dyDescent="0.25">
      <c r="A98" t="s">
        <v>79</v>
      </c>
      <c r="B98">
        <v>5200</v>
      </c>
      <c r="C98">
        <v>105</v>
      </c>
      <c r="E98">
        <v>105</v>
      </c>
      <c r="F98">
        <f>INDEX(Table5[],MATCH(Table8[[#This Row],[Campaign Order]],Table5[Campaign Orders],0),MATCH(Table8[[#Headers],[Spend]],Table5[#Headers],0))</f>
        <v>5200</v>
      </c>
    </row>
    <row r="99" spans="1:6" x14ac:dyDescent="0.25">
      <c r="A99" s="13" t="s">
        <v>91</v>
      </c>
      <c r="B99" s="13">
        <v>3200</v>
      </c>
      <c r="C99" s="13">
        <v>55</v>
      </c>
      <c r="E99">
        <v>55</v>
      </c>
      <c r="F99">
        <f>INDEX(Table5[],MATCH(Table8[[#This Row],[Campaign Order]],Table5[Campaign Orders],0),MATCH(Table8[[#Headers],[Spend]],Table5[#Headers],0))</f>
        <v>3200</v>
      </c>
    </row>
    <row r="100" spans="1:6" x14ac:dyDescent="0.25">
      <c r="A100" t="s">
        <v>100</v>
      </c>
      <c r="B100">
        <v>6200</v>
      </c>
      <c r="C100">
        <v>125</v>
      </c>
      <c r="E100">
        <v>125</v>
      </c>
      <c r="F100">
        <f>INDEX(Table5[],MATCH(Table8[[#This Row],[Campaign Order]],Table5[Campaign Orders],0),MATCH(Table8[[#Headers],[Spend]],Table5[#Headers],0))</f>
        <v>6200</v>
      </c>
    </row>
    <row r="101" spans="1:6" x14ac:dyDescent="0.25">
      <c r="A101" t="s">
        <v>109</v>
      </c>
      <c r="B101">
        <v>4200</v>
      </c>
      <c r="C101">
        <v>75</v>
      </c>
      <c r="E101">
        <v>75</v>
      </c>
      <c r="F101">
        <f>INDEX(Table5[],MATCH(Table8[[#This Row],[Campaign Order]],Table5[Campaign Orders],0),MATCH(Table8[[#Headers],[Spend]],Table5[#Headers],0))</f>
        <v>4200</v>
      </c>
    </row>
    <row r="102" spans="1:6" x14ac:dyDescent="0.25">
      <c r="A102" t="s">
        <v>79</v>
      </c>
      <c r="B102">
        <v>2800</v>
      </c>
      <c r="C102">
        <v>42</v>
      </c>
      <c r="E102">
        <v>42</v>
      </c>
      <c r="F102">
        <f>INDEX(Table5[],MATCH(Table8[[#This Row],[Campaign Order]],Table5[Campaign Orders],0),MATCH(Table8[[#Headers],[Spend]],Table5[#Headers],0))</f>
        <v>2800</v>
      </c>
    </row>
    <row r="103" spans="1:6" x14ac:dyDescent="0.25">
      <c r="A103" t="s">
        <v>91</v>
      </c>
      <c r="B103">
        <v>2200</v>
      </c>
      <c r="C103">
        <v>37</v>
      </c>
      <c r="E103">
        <v>37</v>
      </c>
      <c r="F103">
        <f>INDEX(Table5[],MATCH(Table8[[#This Row],[Campaign Order]],Table5[Campaign Orders],0),MATCH(Table8[[#Headers],[Spend]],Table5[#Headers],0))</f>
        <v>2200</v>
      </c>
    </row>
    <row r="104" spans="1:6" x14ac:dyDescent="0.25">
      <c r="A104" t="s">
        <v>100</v>
      </c>
      <c r="B104">
        <v>5800</v>
      </c>
      <c r="C104">
        <v>100</v>
      </c>
      <c r="E104">
        <v>100</v>
      </c>
      <c r="F104">
        <f>INDEX(Table5[],MATCH(Table8[[#This Row],[Campaign Order]],Table5[Campaign Orders],0),MATCH(Table8[[#Headers],[Spend]],Table5[#Headers],0))</f>
        <v>5000</v>
      </c>
    </row>
    <row r="105" spans="1:6" x14ac:dyDescent="0.25">
      <c r="A105" t="s">
        <v>79</v>
      </c>
      <c r="B105">
        <v>3000</v>
      </c>
      <c r="C105">
        <v>45</v>
      </c>
      <c r="E105">
        <v>45</v>
      </c>
      <c r="F105">
        <f>INDEX(Table5[],MATCH(Table8[[#This Row],[Campaign Order]],Table5[Campaign Orders],0),MATCH(Table8[[#Headers],[Spend]],Table5[#Headers],0))</f>
        <v>3000</v>
      </c>
    </row>
    <row r="106" spans="1:6" x14ac:dyDescent="0.25">
      <c r="A106" t="s">
        <v>109</v>
      </c>
      <c r="B106">
        <v>3500</v>
      </c>
      <c r="C106">
        <v>55</v>
      </c>
      <c r="E106">
        <v>55</v>
      </c>
      <c r="F106">
        <f>INDEX(Table5[],MATCH(Table8[[#This Row],[Campaign Order]],Table5[Campaign Orders],0),MATCH(Table8[[#Headers],[Spend]],Table5[#Headers],0))</f>
        <v>3200</v>
      </c>
    </row>
    <row r="107" spans="1:6" x14ac:dyDescent="0.25">
      <c r="A107" t="s">
        <v>79</v>
      </c>
      <c r="B107">
        <v>2500</v>
      </c>
      <c r="C107">
        <v>30</v>
      </c>
      <c r="E107">
        <v>30</v>
      </c>
      <c r="F107">
        <f>INDEX(Table5[],MATCH(Table8[[#This Row],[Campaign Order]],Table5[Campaign Orders],0),MATCH(Table8[[#Headers],[Spend]],Table5[#Headers],0))</f>
        <v>2500</v>
      </c>
    </row>
    <row r="108" spans="1:6" x14ac:dyDescent="0.25">
      <c r="A108" t="s">
        <v>100</v>
      </c>
      <c r="B108">
        <v>7500</v>
      </c>
      <c r="C108">
        <v>140</v>
      </c>
      <c r="E108">
        <v>140</v>
      </c>
      <c r="F108">
        <f>INDEX(Table5[],MATCH(Table8[[#This Row],[Campaign Order]],Table5[Campaign Orders],0),MATCH(Table8[[#Headers],[Spend]],Table5[#Headers],0))</f>
        <v>7500</v>
      </c>
    </row>
    <row r="109" spans="1:6" x14ac:dyDescent="0.25">
      <c r="A109" t="s">
        <v>79</v>
      </c>
      <c r="B109">
        <v>2900</v>
      </c>
      <c r="C109">
        <v>40</v>
      </c>
      <c r="E109">
        <v>40</v>
      </c>
      <c r="F109">
        <f>INDEX(Table5[],MATCH(Table8[[#This Row],[Campaign Order]],Table5[Campaign Orders],0),MATCH(Table8[[#Headers],[Spend]],Table5[#Headers],0))</f>
        <v>2800</v>
      </c>
    </row>
    <row r="110" spans="1:6" x14ac:dyDescent="0.25">
      <c r="A110" t="s">
        <v>91</v>
      </c>
      <c r="B110">
        <v>5200</v>
      </c>
      <c r="C110">
        <v>100</v>
      </c>
      <c r="E110">
        <v>100</v>
      </c>
      <c r="F110">
        <f>INDEX(Table5[],MATCH(Table8[[#This Row],[Campaign Order]],Table5[Campaign Orders],0),MATCH(Table8[[#Headers],[Spend]],Table5[#Headers],0))</f>
        <v>5000</v>
      </c>
    </row>
    <row r="115" spans="1:14" ht="18.75" x14ac:dyDescent="0.3">
      <c r="A115" s="25" t="s">
        <v>340</v>
      </c>
    </row>
    <row r="121" spans="1:14" x14ac:dyDescent="0.25">
      <c r="A121" s="33" t="s">
        <v>47</v>
      </c>
      <c r="B121" s="33" t="s">
        <v>48</v>
      </c>
      <c r="C121" s="33" t="s">
        <v>55</v>
      </c>
      <c r="D121" s="33" t="s">
        <v>57</v>
      </c>
      <c r="G121" t="s">
        <v>47</v>
      </c>
      <c r="H121" t="s">
        <v>48</v>
      </c>
      <c r="I121" t="s">
        <v>55</v>
      </c>
      <c r="J121" t="s">
        <v>57</v>
      </c>
    </row>
    <row r="122" spans="1:14" ht="15.75" x14ac:dyDescent="0.25">
      <c r="A122" s="32" t="s">
        <v>70</v>
      </c>
      <c r="B122" s="32" t="s">
        <v>71</v>
      </c>
      <c r="C122" s="32">
        <v>240</v>
      </c>
      <c r="D122" s="32" t="s">
        <v>76</v>
      </c>
      <c r="G122" t="s">
        <v>70</v>
      </c>
      <c r="H122" t="e">
        <f ca="1">XLOOKUP(Table10[[#This Row],[Customer Name]],Table9[Customer Name],Table9[[Customer Name]:[Country]])</f>
        <v>#NAME?</v>
      </c>
      <c r="I122" t="e">
        <f ca="1">XLOOKUP(Table10[[#This Row],[Profit]],Table9[Profit],Table9[[Customer Name]:[Country]])</f>
        <v>#NAME?</v>
      </c>
      <c r="J122" t="e">
        <f ca="1">XLOOKUP(Table10[[#This Row],[Country]],Table9[Country],Table9[[Customer Name]:[Country]])</f>
        <v>#NAME?</v>
      </c>
      <c r="N122" s="35" t="s">
        <v>348</v>
      </c>
    </row>
    <row r="123" spans="1:14" x14ac:dyDescent="0.25">
      <c r="A123" s="9" t="s">
        <v>82</v>
      </c>
      <c r="B123" s="9" t="s">
        <v>83</v>
      </c>
      <c r="C123" s="9">
        <v>10</v>
      </c>
      <c r="D123" s="9" t="s">
        <v>88</v>
      </c>
    </row>
    <row r="124" spans="1:14" x14ac:dyDescent="0.25">
      <c r="A124" s="32" t="s">
        <v>94</v>
      </c>
      <c r="B124" s="32" t="s">
        <v>95</v>
      </c>
      <c r="C124" s="32">
        <v>30</v>
      </c>
      <c r="D124" s="32" t="s">
        <v>98</v>
      </c>
    </row>
    <row r="125" spans="1:14" x14ac:dyDescent="0.25">
      <c r="A125" s="9" t="s">
        <v>70</v>
      </c>
      <c r="B125" s="9" t="s">
        <v>71</v>
      </c>
      <c r="C125" s="9">
        <v>5</v>
      </c>
      <c r="D125" s="9" t="s">
        <v>76</v>
      </c>
    </row>
    <row r="126" spans="1:14" x14ac:dyDescent="0.25">
      <c r="A126" s="32" t="s">
        <v>103</v>
      </c>
      <c r="B126" s="32" t="s">
        <v>104</v>
      </c>
      <c r="C126" s="32">
        <v>20</v>
      </c>
      <c r="D126" s="32" t="s">
        <v>107</v>
      </c>
    </row>
    <row r="127" spans="1:14" x14ac:dyDescent="0.25">
      <c r="A127" s="9" t="s">
        <v>82</v>
      </c>
      <c r="B127" s="9" t="s">
        <v>83</v>
      </c>
      <c r="C127" s="9">
        <v>15</v>
      </c>
      <c r="D127" s="9" t="s">
        <v>88</v>
      </c>
    </row>
    <row r="128" spans="1:14" x14ac:dyDescent="0.25">
      <c r="A128" s="32" t="s">
        <v>112</v>
      </c>
      <c r="B128" s="32" t="s">
        <v>113</v>
      </c>
      <c r="C128" s="32">
        <v>40</v>
      </c>
      <c r="D128" s="32" t="s">
        <v>98</v>
      </c>
    </row>
    <row r="129" spans="1:4" x14ac:dyDescent="0.25">
      <c r="A129" s="9" t="s">
        <v>94</v>
      </c>
      <c r="B129" s="9" t="s">
        <v>95</v>
      </c>
      <c r="C129" s="9">
        <v>60</v>
      </c>
      <c r="D129" s="9" t="s">
        <v>76</v>
      </c>
    </row>
    <row r="130" spans="1:4" x14ac:dyDescent="0.25">
      <c r="A130" s="32" t="s">
        <v>70</v>
      </c>
      <c r="B130" s="32" t="s">
        <v>71</v>
      </c>
      <c r="C130" s="32">
        <v>10</v>
      </c>
      <c r="D130" s="32" t="s">
        <v>88</v>
      </c>
    </row>
    <row r="131" spans="1:4" x14ac:dyDescent="0.25">
      <c r="A131" s="9" t="s">
        <v>120</v>
      </c>
      <c r="B131" s="9" t="s">
        <v>121</v>
      </c>
      <c r="C131" s="9">
        <v>25</v>
      </c>
      <c r="D131" s="9" t="s">
        <v>107</v>
      </c>
    </row>
    <row r="132" spans="1:4" x14ac:dyDescent="0.25">
      <c r="A132" s="32" t="s">
        <v>103</v>
      </c>
      <c r="B132" s="32" t="s">
        <v>104</v>
      </c>
      <c r="C132" s="32">
        <v>3</v>
      </c>
      <c r="D132" s="32" t="s">
        <v>98</v>
      </c>
    </row>
    <row r="133" spans="1:4" x14ac:dyDescent="0.25">
      <c r="A133" s="9" t="s">
        <v>127</v>
      </c>
      <c r="B133" s="9" t="s">
        <v>128</v>
      </c>
      <c r="C133" s="9">
        <v>50</v>
      </c>
      <c r="D133" s="9" t="s">
        <v>76</v>
      </c>
    </row>
    <row r="134" spans="1:4" x14ac:dyDescent="0.25">
      <c r="A134" s="32" t="s">
        <v>112</v>
      </c>
      <c r="B134" s="32" t="s">
        <v>113</v>
      </c>
      <c r="C134" s="32">
        <v>45</v>
      </c>
      <c r="D134" s="32" t="s">
        <v>88</v>
      </c>
    </row>
    <row r="135" spans="1:4" x14ac:dyDescent="0.25">
      <c r="A135" s="9" t="s">
        <v>133</v>
      </c>
      <c r="B135" s="9" t="s">
        <v>134</v>
      </c>
      <c r="C135" s="9">
        <v>18</v>
      </c>
      <c r="D135" s="9" t="s">
        <v>98</v>
      </c>
    </row>
    <row r="136" spans="1:4" x14ac:dyDescent="0.25">
      <c r="A136" s="32" t="s">
        <v>138</v>
      </c>
      <c r="B136" s="32" t="s">
        <v>139</v>
      </c>
      <c r="C136" s="32">
        <v>22</v>
      </c>
      <c r="D136" s="32" t="s">
        <v>107</v>
      </c>
    </row>
    <row r="137" spans="1:4" x14ac:dyDescent="0.25">
      <c r="A137" s="9" t="s">
        <v>70</v>
      </c>
      <c r="B137" s="9" t="s">
        <v>71</v>
      </c>
      <c r="C137" s="9">
        <v>16</v>
      </c>
      <c r="D137" s="9" t="s">
        <v>76</v>
      </c>
    </row>
    <row r="138" spans="1:4" x14ac:dyDescent="0.25">
      <c r="A138" s="32" t="s">
        <v>144</v>
      </c>
      <c r="B138" s="32" t="s">
        <v>145</v>
      </c>
      <c r="C138" s="32">
        <v>8</v>
      </c>
      <c r="D138" s="32" t="s">
        <v>88</v>
      </c>
    </row>
    <row r="139" spans="1:4" x14ac:dyDescent="0.25">
      <c r="A139" s="9" t="s">
        <v>82</v>
      </c>
      <c r="B139" s="9" t="s">
        <v>83</v>
      </c>
      <c r="C139" s="9">
        <v>15</v>
      </c>
      <c r="D139" s="9" t="s">
        <v>98</v>
      </c>
    </row>
    <row r="140" spans="1:4" x14ac:dyDescent="0.25">
      <c r="A140" s="32" t="s">
        <v>94</v>
      </c>
      <c r="B140" s="32" t="s">
        <v>95</v>
      </c>
      <c r="C140" s="32">
        <v>80</v>
      </c>
      <c r="D140" s="32" t="s">
        <v>76</v>
      </c>
    </row>
    <row r="141" spans="1:4" x14ac:dyDescent="0.25">
      <c r="A141" s="9" t="s">
        <v>120</v>
      </c>
      <c r="B141" s="9" t="s">
        <v>121</v>
      </c>
      <c r="C141" s="9">
        <v>30</v>
      </c>
      <c r="D141" s="9" t="s">
        <v>107</v>
      </c>
    </row>
    <row r="142" spans="1:4" x14ac:dyDescent="0.25">
      <c r="A142" s="32" t="s">
        <v>70</v>
      </c>
      <c r="B142" s="32" t="s">
        <v>71</v>
      </c>
      <c r="C142" s="32">
        <v>160</v>
      </c>
      <c r="D142" s="32" t="s">
        <v>88</v>
      </c>
    </row>
    <row r="143" spans="1:4" x14ac:dyDescent="0.25">
      <c r="A143" s="9" t="s">
        <v>127</v>
      </c>
      <c r="B143" s="9" t="s">
        <v>128</v>
      </c>
      <c r="C143" s="9">
        <v>25</v>
      </c>
      <c r="D143" s="9" t="s">
        <v>98</v>
      </c>
    </row>
    <row r="144" spans="1:4" x14ac:dyDescent="0.25">
      <c r="A144" s="32" t="s">
        <v>112</v>
      </c>
      <c r="B144" s="32" t="s">
        <v>113</v>
      </c>
      <c r="C144" s="32">
        <v>28</v>
      </c>
      <c r="D144" s="32" t="s">
        <v>76</v>
      </c>
    </row>
    <row r="145" spans="1:4" x14ac:dyDescent="0.25">
      <c r="A145" s="9" t="s">
        <v>133</v>
      </c>
      <c r="B145" s="9" t="s">
        <v>134</v>
      </c>
      <c r="C145" s="9">
        <v>30</v>
      </c>
      <c r="D145" s="9" t="s">
        <v>88</v>
      </c>
    </row>
    <row r="146" spans="1:4" x14ac:dyDescent="0.25">
      <c r="A146" s="32" t="s">
        <v>138</v>
      </c>
      <c r="B146" s="32" t="s">
        <v>139</v>
      </c>
      <c r="C146" s="32">
        <v>15</v>
      </c>
      <c r="D146" s="32" t="s">
        <v>98</v>
      </c>
    </row>
    <row r="147" spans="1:4" x14ac:dyDescent="0.25">
      <c r="A147" s="9" t="s">
        <v>144</v>
      </c>
      <c r="B147" s="9" t="s">
        <v>145</v>
      </c>
      <c r="C147" s="9">
        <v>20</v>
      </c>
      <c r="D147" s="9" t="s">
        <v>107</v>
      </c>
    </row>
    <row r="148" spans="1:4" x14ac:dyDescent="0.25">
      <c r="A148" s="32" t="s">
        <v>70</v>
      </c>
      <c r="B148" s="32" t="s">
        <v>71</v>
      </c>
      <c r="C148" s="32">
        <v>40</v>
      </c>
      <c r="D148" s="32" t="s">
        <v>76</v>
      </c>
    </row>
    <row r="149" spans="1:4" x14ac:dyDescent="0.25">
      <c r="A149" s="9" t="s">
        <v>82</v>
      </c>
      <c r="B149" s="9" t="s">
        <v>83</v>
      </c>
      <c r="C149" s="9">
        <v>60</v>
      </c>
      <c r="D149" s="9" t="s">
        <v>88</v>
      </c>
    </row>
    <row r="150" spans="1:4" x14ac:dyDescent="0.25">
      <c r="A150" s="32" t="s">
        <v>94</v>
      </c>
      <c r="B150" s="32" t="s">
        <v>95</v>
      </c>
      <c r="C150" s="32">
        <v>70</v>
      </c>
      <c r="D150" s="32" t="s">
        <v>98</v>
      </c>
    </row>
    <row r="151" spans="1:4" x14ac:dyDescent="0.25">
      <c r="A151" s="9" t="s">
        <v>103</v>
      </c>
      <c r="B151" s="9" t="s">
        <v>104</v>
      </c>
      <c r="C151" s="9">
        <v>35</v>
      </c>
      <c r="D151" s="9" t="s">
        <v>107</v>
      </c>
    </row>
    <row r="152" spans="1:4" x14ac:dyDescent="0.25">
      <c r="A152" s="32" t="s">
        <v>112</v>
      </c>
      <c r="B152" s="32" t="s">
        <v>113</v>
      </c>
      <c r="C152" s="32">
        <v>15</v>
      </c>
      <c r="D152" s="32" t="s">
        <v>76</v>
      </c>
    </row>
    <row r="153" spans="1:4" x14ac:dyDescent="0.25">
      <c r="A153" s="9" t="s">
        <v>120</v>
      </c>
      <c r="B153" s="9" t="s">
        <v>121</v>
      </c>
      <c r="C153" s="9">
        <v>260</v>
      </c>
      <c r="D153" s="9" t="s">
        <v>88</v>
      </c>
    </row>
    <row r="154" spans="1:4" x14ac:dyDescent="0.25">
      <c r="A154" s="32" t="s">
        <v>127</v>
      </c>
      <c r="B154" s="32" t="s">
        <v>128</v>
      </c>
      <c r="C154" s="32">
        <v>35</v>
      </c>
      <c r="D154" s="32" t="s">
        <v>98</v>
      </c>
    </row>
    <row r="155" spans="1:4" x14ac:dyDescent="0.25">
      <c r="A155" s="9" t="s">
        <v>133</v>
      </c>
      <c r="B155" s="9" t="s">
        <v>134</v>
      </c>
      <c r="C155" s="9">
        <v>40</v>
      </c>
      <c r="D155" s="9" t="s">
        <v>76</v>
      </c>
    </row>
    <row r="156" spans="1:4" x14ac:dyDescent="0.25">
      <c r="A156" s="32" t="s">
        <v>138</v>
      </c>
      <c r="B156" s="32" t="s">
        <v>139</v>
      </c>
      <c r="C156" s="32">
        <v>50</v>
      </c>
      <c r="D156" s="32" t="s">
        <v>88</v>
      </c>
    </row>
    <row r="157" spans="1:4" x14ac:dyDescent="0.25">
      <c r="A157" s="9" t="s">
        <v>144</v>
      </c>
      <c r="B157" s="9" t="s">
        <v>145</v>
      </c>
      <c r="C157" s="9">
        <v>15</v>
      </c>
      <c r="D157" s="9" t="s">
        <v>98</v>
      </c>
    </row>
    <row r="158" spans="1:4" x14ac:dyDescent="0.25">
      <c r="A158" s="32" t="s">
        <v>70</v>
      </c>
      <c r="B158" s="32" t="s">
        <v>71</v>
      </c>
      <c r="C158" s="32">
        <v>20</v>
      </c>
      <c r="D158" s="32" t="s">
        <v>107</v>
      </c>
    </row>
    <row r="159" spans="1:4" x14ac:dyDescent="0.25">
      <c r="A159" s="9" t="s">
        <v>82</v>
      </c>
      <c r="B159" s="9" t="s">
        <v>83</v>
      </c>
      <c r="C159" s="9">
        <v>50</v>
      </c>
      <c r="D159" s="9" t="s">
        <v>76</v>
      </c>
    </row>
    <row r="160" spans="1:4" x14ac:dyDescent="0.25">
      <c r="A160" s="32" t="s">
        <v>94</v>
      </c>
      <c r="B160" s="32" t="s">
        <v>95</v>
      </c>
      <c r="C160" s="32">
        <v>12</v>
      </c>
      <c r="D160" s="32" t="s">
        <v>88</v>
      </c>
    </row>
    <row r="161" spans="1:4" x14ac:dyDescent="0.25">
      <c r="A161" s="9" t="s">
        <v>103</v>
      </c>
      <c r="B161" s="9" t="s">
        <v>104</v>
      </c>
      <c r="C161" s="9">
        <v>25</v>
      </c>
      <c r="D161" s="9" t="s">
        <v>98</v>
      </c>
    </row>
    <row r="162" spans="1:4" x14ac:dyDescent="0.25">
      <c r="A162" s="32" t="s">
        <v>112</v>
      </c>
      <c r="B162" s="32" t="s">
        <v>113</v>
      </c>
      <c r="C162" s="32">
        <v>8</v>
      </c>
      <c r="D162" s="32" t="s">
        <v>107</v>
      </c>
    </row>
    <row r="163" spans="1:4" x14ac:dyDescent="0.25">
      <c r="A163" s="9" t="s">
        <v>120</v>
      </c>
      <c r="B163" s="9" t="s">
        <v>121</v>
      </c>
      <c r="C163" s="9">
        <v>90</v>
      </c>
      <c r="D163" s="9" t="s">
        <v>76</v>
      </c>
    </row>
    <row r="164" spans="1:4" x14ac:dyDescent="0.25">
      <c r="A164" s="32" t="s">
        <v>127</v>
      </c>
      <c r="B164" s="32" t="s">
        <v>128</v>
      </c>
      <c r="C164" s="32">
        <v>10</v>
      </c>
      <c r="D164" s="32" t="s">
        <v>88</v>
      </c>
    </row>
    <row r="165" spans="1:4" x14ac:dyDescent="0.25">
      <c r="A165" s="13" t="s">
        <v>133</v>
      </c>
      <c r="B165" s="13" t="s">
        <v>134</v>
      </c>
      <c r="C165" s="13">
        <v>10</v>
      </c>
      <c r="D165" s="13" t="s">
        <v>98</v>
      </c>
    </row>
  </sheetData>
  <phoneticPr fontId="7" type="noConversion"/>
  <conditionalFormatting sqref="E6:J49">
    <cfRule type="containsText" dxfId="59" priority="1" operator="containsText" text="High Value">
      <formula>NOT(ISERROR(SEARCH("High Value",E6)))</formula>
    </cfRule>
  </conditionalFormatting>
  <dataValidations count="2">
    <dataValidation type="list" allowBlank="1" showInputMessage="1" showErrorMessage="1" sqref="H54:H55" xr:uid="{B8CBCFFB-EDA4-4535-B748-A9DEE0488540}">
      <formula1>$C$53:$E$53</formula1>
    </dataValidation>
    <dataValidation type="list" allowBlank="1" showInputMessage="1" showErrorMessage="1" sqref="G122 G126" xr:uid="{EE1FB98C-DEF5-4A9E-AE5A-295734FF48B1}">
      <formula1>$A$122:$A$165</formula1>
    </dataValidation>
  </dataValidations>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A077B-EBE2-4B72-82E9-B592785FDC3C}">
  <sheetPr codeName="Sheet6"/>
  <dimension ref="B3:Z47"/>
  <sheetViews>
    <sheetView topLeftCell="E16" workbookViewId="0">
      <selection activeCell="AA17" sqref="AA17"/>
    </sheetView>
  </sheetViews>
  <sheetFormatPr defaultRowHeight="15" x14ac:dyDescent="0.25"/>
  <cols>
    <col min="2" max="2" width="10.140625" customWidth="1"/>
    <col min="3" max="3" width="11" customWidth="1"/>
    <col min="7" max="7" width="13.140625" bestFit="1" customWidth="1"/>
    <col min="8" max="8" width="14.140625" bestFit="1" customWidth="1"/>
    <col min="12" max="12" width="16.140625" bestFit="1" customWidth="1"/>
    <col min="13" max="13" width="16.28515625" bestFit="1" customWidth="1"/>
    <col min="14" max="24" width="12" bestFit="1" customWidth="1"/>
    <col min="25" max="25" width="8.5703125" bestFit="1" customWidth="1"/>
    <col min="26" max="26" width="12" bestFit="1" customWidth="1"/>
  </cols>
  <sheetData>
    <row r="3" spans="2:17" ht="15.75" x14ac:dyDescent="0.25">
      <c r="B3" s="33" t="s">
        <v>57</v>
      </c>
      <c r="C3" s="33" t="s">
        <v>251</v>
      </c>
      <c r="D3" s="33" t="s">
        <v>55</v>
      </c>
      <c r="G3" s="36" t="s">
        <v>265</v>
      </c>
      <c r="H3" s="37" t="s">
        <v>239</v>
      </c>
      <c r="K3" t="s">
        <v>269</v>
      </c>
      <c r="L3" t="s">
        <v>270</v>
      </c>
      <c r="M3" t="s">
        <v>271</v>
      </c>
      <c r="P3" s="38" t="s">
        <v>270</v>
      </c>
      <c r="Q3" s="38" t="s">
        <v>282</v>
      </c>
    </row>
    <row r="4" spans="2:17" ht="15.75" x14ac:dyDescent="0.25">
      <c r="B4" s="32" t="s">
        <v>76</v>
      </c>
      <c r="C4" s="32" t="str">
        <f>TEXT(Table1[[#This Row],[Order Date]],"mmm")</f>
        <v>Jan</v>
      </c>
      <c r="D4" s="32">
        <v>240</v>
      </c>
      <c r="G4" s="35" t="s">
        <v>267</v>
      </c>
      <c r="H4" s="35" t="s">
        <v>268</v>
      </c>
      <c r="K4">
        <v>1</v>
      </c>
      <c r="L4">
        <v>30</v>
      </c>
      <c r="M4" t="s">
        <v>272</v>
      </c>
      <c r="P4">
        <v>60</v>
      </c>
      <c r="Q4">
        <v>38</v>
      </c>
    </row>
    <row r="5" spans="2:17" ht="15.75" x14ac:dyDescent="0.25">
      <c r="B5" s="9" t="s">
        <v>88</v>
      </c>
      <c r="C5" s="9" t="str">
        <f>TEXT(Table1[[#This Row],[Order Date]],"mmm")</f>
        <v>Jan</v>
      </c>
      <c r="D5" s="9">
        <v>10</v>
      </c>
      <c r="G5" s="21" t="s">
        <v>252</v>
      </c>
      <c r="H5" s="21">
        <v>37.790697674418603</v>
      </c>
      <c r="K5">
        <v>31</v>
      </c>
      <c r="L5">
        <v>60</v>
      </c>
      <c r="M5" t="s">
        <v>273</v>
      </c>
      <c r="P5">
        <v>90</v>
      </c>
      <c r="Q5">
        <v>3</v>
      </c>
    </row>
    <row r="6" spans="2:17" ht="15.75" x14ac:dyDescent="0.25">
      <c r="B6" s="32" t="s">
        <v>98</v>
      </c>
      <c r="C6" s="32" t="str">
        <f>TEXT(Table1[[#This Row],[Order Date]],"mmm")</f>
        <v>Jan</v>
      </c>
      <c r="D6" s="32">
        <v>30</v>
      </c>
      <c r="G6" s="21" t="s">
        <v>253</v>
      </c>
      <c r="H6" s="21">
        <v>6.8450302185402858</v>
      </c>
      <c r="K6">
        <v>61</v>
      </c>
      <c r="L6">
        <v>90</v>
      </c>
      <c r="M6" t="s">
        <v>274</v>
      </c>
      <c r="P6">
        <v>120</v>
      </c>
      <c r="Q6">
        <v>0</v>
      </c>
    </row>
    <row r="7" spans="2:17" ht="15.75" x14ac:dyDescent="0.25">
      <c r="B7" s="9" t="s">
        <v>76</v>
      </c>
      <c r="C7" s="9" t="str">
        <f>TEXT(Table1[[#This Row],[Order Date]],"mmm")</f>
        <v>Feb</v>
      </c>
      <c r="D7" s="9">
        <v>5</v>
      </c>
      <c r="G7" s="21" t="s">
        <v>254</v>
      </c>
      <c r="H7" s="21">
        <v>25</v>
      </c>
      <c r="K7">
        <v>90</v>
      </c>
      <c r="L7">
        <v>120</v>
      </c>
      <c r="M7" t="s">
        <v>275</v>
      </c>
      <c r="P7">
        <v>150</v>
      </c>
      <c r="Q7">
        <v>0</v>
      </c>
    </row>
    <row r="8" spans="2:17" ht="15.75" x14ac:dyDescent="0.25">
      <c r="B8" s="32" t="s">
        <v>107</v>
      </c>
      <c r="C8" s="32" t="str">
        <f>TEXT(Table1[[#This Row],[Order Date]],"mmm")</f>
        <v>Feb</v>
      </c>
      <c r="D8" s="32">
        <v>20</v>
      </c>
      <c r="G8" s="21" t="s">
        <v>255</v>
      </c>
      <c r="H8" s="21">
        <v>15</v>
      </c>
      <c r="K8">
        <v>121</v>
      </c>
      <c r="L8">
        <v>150</v>
      </c>
      <c r="M8" t="s">
        <v>276</v>
      </c>
      <c r="P8">
        <v>180</v>
      </c>
      <c r="Q8">
        <v>1</v>
      </c>
    </row>
    <row r="9" spans="2:17" ht="15.75" x14ac:dyDescent="0.25">
      <c r="B9" s="9" t="s">
        <v>88</v>
      </c>
      <c r="C9" s="9" t="str">
        <f>TEXT(Table1[[#This Row],[Order Date]],"mmm")</f>
        <v>Mar</v>
      </c>
      <c r="D9" s="9">
        <v>15</v>
      </c>
      <c r="G9" s="21" t="s">
        <v>256</v>
      </c>
      <c r="H9" s="21">
        <v>44.88586485506741</v>
      </c>
      <c r="K9">
        <v>151</v>
      </c>
      <c r="L9">
        <v>180</v>
      </c>
      <c r="M9" t="s">
        <v>277</v>
      </c>
      <c r="P9">
        <v>210</v>
      </c>
      <c r="Q9">
        <v>0</v>
      </c>
    </row>
    <row r="10" spans="2:17" ht="15.75" x14ac:dyDescent="0.25">
      <c r="B10" s="32" t="s">
        <v>98</v>
      </c>
      <c r="C10" s="32" t="str">
        <f>TEXT(Table1[[#This Row],[Order Date]],"mmm")</f>
        <v>Mar</v>
      </c>
      <c r="D10" s="32">
        <v>40</v>
      </c>
      <c r="G10" s="21" t="s">
        <v>257</v>
      </c>
      <c r="H10" s="21">
        <v>2014.7408637873755</v>
      </c>
      <c r="K10">
        <v>181</v>
      </c>
      <c r="L10">
        <v>210</v>
      </c>
      <c r="M10" t="s">
        <v>278</v>
      </c>
      <c r="P10">
        <v>240</v>
      </c>
      <c r="Q10">
        <v>0</v>
      </c>
    </row>
    <row r="11" spans="2:17" ht="15.75" x14ac:dyDescent="0.25">
      <c r="B11" s="9" t="s">
        <v>76</v>
      </c>
      <c r="C11" s="9" t="str">
        <f>TEXT(Table1[[#This Row],[Order Date]],"mmm")</f>
        <v>Apr</v>
      </c>
      <c r="D11" s="9">
        <v>60</v>
      </c>
      <c r="G11" s="21" t="s">
        <v>258</v>
      </c>
      <c r="H11" s="21">
        <v>14.926021330342824</v>
      </c>
      <c r="K11">
        <v>211</v>
      </c>
      <c r="L11">
        <v>240</v>
      </c>
      <c r="M11" t="s">
        <v>279</v>
      </c>
      <c r="P11">
        <v>270</v>
      </c>
      <c r="Q11">
        <v>1</v>
      </c>
    </row>
    <row r="12" spans="2:17" ht="15.75" x14ac:dyDescent="0.25">
      <c r="B12" s="32" t="s">
        <v>88</v>
      </c>
      <c r="C12" s="32" t="str">
        <f>TEXT(Table1[[#This Row],[Order Date]],"mmm")</f>
        <v>May</v>
      </c>
      <c r="D12" s="32">
        <v>10</v>
      </c>
      <c r="G12" s="21" t="s">
        <v>259</v>
      </c>
      <c r="H12" s="21">
        <v>3.5167035371648985</v>
      </c>
      <c r="K12">
        <v>241</v>
      </c>
      <c r="L12">
        <v>270</v>
      </c>
      <c r="M12" t="s">
        <v>280</v>
      </c>
      <c r="P12" t="s">
        <v>281</v>
      </c>
      <c r="Q12">
        <v>0</v>
      </c>
    </row>
    <row r="13" spans="2:17" ht="15.75" x14ac:dyDescent="0.25">
      <c r="B13" s="9" t="s">
        <v>107</v>
      </c>
      <c r="C13" s="9" t="str">
        <f>TEXT(Table1[[#This Row],[Order Date]],"mmm")</f>
        <v>Jun</v>
      </c>
      <c r="D13" s="9">
        <v>25</v>
      </c>
      <c r="G13" s="21" t="s">
        <v>260</v>
      </c>
      <c r="H13" s="21">
        <v>257</v>
      </c>
    </row>
    <row r="14" spans="2:17" ht="15.75" x14ac:dyDescent="0.25">
      <c r="B14" s="32" t="s">
        <v>98</v>
      </c>
      <c r="C14" s="32" t="str">
        <f>TEXT(Table1[[#This Row],[Order Date]],"mmm")</f>
        <v>Jul</v>
      </c>
      <c r="D14" s="32">
        <v>3</v>
      </c>
      <c r="G14" s="21" t="s">
        <v>261</v>
      </c>
      <c r="H14" s="21">
        <v>3</v>
      </c>
    </row>
    <row r="15" spans="2:17" ht="15.75" x14ac:dyDescent="0.25">
      <c r="B15" s="9" t="s">
        <v>76</v>
      </c>
      <c r="C15" s="9" t="str">
        <f>TEXT(Table1[[#This Row],[Order Date]],"mmm")</f>
        <v>Aug</v>
      </c>
      <c r="D15" s="9">
        <v>50</v>
      </c>
      <c r="G15" s="21" t="s">
        <v>262</v>
      </c>
      <c r="H15" s="21">
        <v>260</v>
      </c>
    </row>
    <row r="16" spans="2:17" ht="15.75" x14ac:dyDescent="0.25">
      <c r="B16" s="32" t="s">
        <v>88</v>
      </c>
      <c r="C16" s="32" t="str">
        <f>TEXT(Table1[[#This Row],[Order Date]],"mmm")</f>
        <v>Sep</v>
      </c>
      <c r="D16" s="32">
        <v>45</v>
      </c>
      <c r="G16" s="21" t="s">
        <v>263</v>
      </c>
      <c r="H16" s="21">
        <v>1625</v>
      </c>
    </row>
    <row r="17" spans="2:26" ht="15.75" x14ac:dyDescent="0.25">
      <c r="B17" s="9" t="s">
        <v>98</v>
      </c>
      <c r="C17" s="9" t="str">
        <f>TEXT(Table1[[#This Row],[Order Date]],"mmm")</f>
        <v>Oct</v>
      </c>
      <c r="D17" s="9">
        <v>18</v>
      </c>
      <c r="G17" s="21" t="s">
        <v>264</v>
      </c>
      <c r="H17" s="21">
        <v>43</v>
      </c>
    </row>
    <row r="18" spans="2:26" ht="15.75" x14ac:dyDescent="0.25">
      <c r="B18" s="32" t="s">
        <v>107</v>
      </c>
      <c r="C18" s="32" t="str">
        <f>TEXT(Table1[[#This Row],[Order Date]],"mmm")</f>
        <v>Nov</v>
      </c>
      <c r="D18" s="32">
        <v>22</v>
      </c>
      <c r="G18" s="21" t="s">
        <v>266</v>
      </c>
      <c r="H18" s="21">
        <v>13.813830239275486</v>
      </c>
    </row>
    <row r="19" spans="2:26" x14ac:dyDescent="0.25">
      <c r="B19" s="9" t="s">
        <v>76</v>
      </c>
      <c r="C19" s="9" t="str">
        <f>TEXT(Table1[[#This Row],[Order Date]],"mmm")</f>
        <v>Dec</v>
      </c>
      <c r="D19" s="9">
        <v>16</v>
      </c>
    </row>
    <row r="20" spans="2:26" x14ac:dyDescent="0.25">
      <c r="B20" s="32" t="s">
        <v>88</v>
      </c>
      <c r="C20" s="32" t="str">
        <f>TEXT(Table1[[#This Row],[Order Date]],"mmm")</f>
        <v>Jan</v>
      </c>
      <c r="D20" s="32">
        <v>8</v>
      </c>
      <c r="M20" s="5" t="s">
        <v>215</v>
      </c>
    </row>
    <row r="21" spans="2:26" x14ac:dyDescent="0.25">
      <c r="B21" s="9" t="s">
        <v>98</v>
      </c>
      <c r="C21" s="9" t="str">
        <f>TEXT(Table1[[#This Row],[Order Date]],"mmm")</f>
        <v>Jan</v>
      </c>
      <c r="D21" s="9">
        <v>15</v>
      </c>
      <c r="L21" s="5" t="s">
        <v>283</v>
      </c>
      <c r="M21" t="s">
        <v>290</v>
      </c>
      <c r="N21" t="s">
        <v>291</v>
      </c>
      <c r="O21" t="s">
        <v>327</v>
      </c>
      <c r="P21" t="s">
        <v>293</v>
      </c>
      <c r="Q21" t="s">
        <v>328</v>
      </c>
      <c r="R21" t="s">
        <v>292</v>
      </c>
      <c r="S21" t="s">
        <v>330</v>
      </c>
      <c r="T21" t="s">
        <v>294</v>
      </c>
      <c r="U21" t="s">
        <v>329</v>
      </c>
      <c r="V21" t="s">
        <v>295</v>
      </c>
      <c r="W21" t="s">
        <v>331</v>
      </c>
      <c r="X21" t="s">
        <v>296</v>
      </c>
      <c r="Y21" t="s">
        <v>341</v>
      </c>
      <c r="Z21" t="s">
        <v>211</v>
      </c>
    </row>
    <row r="22" spans="2:26" x14ac:dyDescent="0.25">
      <c r="B22" s="32" t="s">
        <v>76</v>
      </c>
      <c r="C22" s="32" t="str">
        <f>TEXT(Table1[[#This Row],[Order Date]],"mmm")</f>
        <v>Feb</v>
      </c>
      <c r="D22" s="32">
        <v>80</v>
      </c>
      <c r="L22" s="6" t="s">
        <v>204</v>
      </c>
      <c r="M22">
        <v>353</v>
      </c>
      <c r="N22">
        <v>365</v>
      </c>
      <c r="O22">
        <v>120</v>
      </c>
      <c r="P22">
        <v>260</v>
      </c>
      <c r="Q22">
        <v>85</v>
      </c>
      <c r="R22">
        <v>68</v>
      </c>
      <c r="S22">
        <v>53</v>
      </c>
      <c r="T22">
        <v>115</v>
      </c>
      <c r="U22">
        <v>77</v>
      </c>
      <c r="V22">
        <v>83</v>
      </c>
      <c r="W22">
        <v>90</v>
      </c>
      <c r="X22">
        <v>176</v>
      </c>
      <c r="Y22">
        <v>20</v>
      </c>
      <c r="Z22">
        <v>1865</v>
      </c>
    </row>
    <row r="23" spans="2:26" x14ac:dyDescent="0.25">
      <c r="B23" s="9" t="s">
        <v>107</v>
      </c>
      <c r="C23" s="9" t="str">
        <f>TEXT(Table1[[#This Row],[Order Date]],"mmm")</f>
        <v>Mar</v>
      </c>
      <c r="D23" s="9">
        <v>30</v>
      </c>
      <c r="L23" s="6" t="s">
        <v>284</v>
      </c>
      <c r="M23">
        <v>7</v>
      </c>
      <c r="N23">
        <v>4</v>
      </c>
      <c r="O23">
        <v>4</v>
      </c>
      <c r="P23">
        <v>3</v>
      </c>
      <c r="Q23">
        <v>3</v>
      </c>
      <c r="R23">
        <v>3</v>
      </c>
      <c r="S23">
        <v>3</v>
      </c>
      <c r="T23">
        <v>3</v>
      </c>
      <c r="U23">
        <v>3</v>
      </c>
      <c r="V23">
        <v>3</v>
      </c>
      <c r="W23">
        <v>3</v>
      </c>
      <c r="X23">
        <v>3</v>
      </c>
      <c r="Y23">
        <v>2</v>
      </c>
      <c r="Z23">
        <v>44</v>
      </c>
    </row>
    <row r="24" spans="2:26" x14ac:dyDescent="0.25">
      <c r="B24" s="32" t="s">
        <v>88</v>
      </c>
      <c r="C24" s="32" t="str">
        <f>TEXT(Table1[[#This Row],[Order Date]],"mmm")</f>
        <v>Apr</v>
      </c>
      <c r="D24" s="32">
        <v>160</v>
      </c>
      <c r="L24" s="6" t="s">
        <v>285</v>
      </c>
      <c r="M24">
        <v>50.428571428571431</v>
      </c>
      <c r="N24">
        <v>91.25</v>
      </c>
      <c r="O24">
        <v>30</v>
      </c>
      <c r="P24">
        <v>86.666666666666671</v>
      </c>
      <c r="Q24">
        <v>28.333333333333332</v>
      </c>
      <c r="R24">
        <v>22.666666666666668</v>
      </c>
      <c r="S24">
        <v>17.666666666666668</v>
      </c>
      <c r="T24">
        <v>38.333333333333336</v>
      </c>
      <c r="U24">
        <v>25.666666666666668</v>
      </c>
      <c r="V24">
        <v>27.666666666666668</v>
      </c>
      <c r="W24">
        <v>30</v>
      </c>
      <c r="X24">
        <v>58.666666666666664</v>
      </c>
      <c r="Y24">
        <v>10</v>
      </c>
      <c r="Z24">
        <v>42.386363636363633</v>
      </c>
    </row>
    <row r="25" spans="2:26" x14ac:dyDescent="0.25">
      <c r="B25" s="9" t="s">
        <v>98</v>
      </c>
      <c r="C25" s="9" t="str">
        <f>TEXT(Table1[[#This Row],[Order Date]],"mmm")</f>
        <v>May</v>
      </c>
      <c r="D25" s="9">
        <v>25</v>
      </c>
      <c r="L25" s="6" t="s">
        <v>286</v>
      </c>
      <c r="M25">
        <v>240</v>
      </c>
      <c r="N25">
        <v>260</v>
      </c>
      <c r="O25">
        <v>40</v>
      </c>
      <c r="P25">
        <v>160</v>
      </c>
      <c r="Q25">
        <v>50</v>
      </c>
      <c r="R25">
        <v>28</v>
      </c>
      <c r="S25">
        <v>30</v>
      </c>
      <c r="T25">
        <v>50</v>
      </c>
      <c r="U25">
        <v>45</v>
      </c>
      <c r="V25">
        <v>40</v>
      </c>
      <c r="W25">
        <v>60</v>
      </c>
      <c r="X25">
        <v>90</v>
      </c>
      <c r="Y25">
        <v>10</v>
      </c>
      <c r="Z25">
        <v>260</v>
      </c>
    </row>
    <row r="26" spans="2:26" x14ac:dyDescent="0.25">
      <c r="B26" s="32" t="s">
        <v>76</v>
      </c>
      <c r="C26" s="32" t="str">
        <f>TEXT(Table1[[#This Row],[Order Date]],"mmm")</f>
        <v>Jun</v>
      </c>
      <c r="D26" s="32">
        <v>28</v>
      </c>
      <c r="L26" s="6" t="s">
        <v>287</v>
      </c>
      <c r="M26">
        <v>8</v>
      </c>
      <c r="N26">
        <v>5</v>
      </c>
      <c r="O26">
        <v>15</v>
      </c>
      <c r="P26">
        <v>40</v>
      </c>
      <c r="Q26">
        <v>10</v>
      </c>
      <c r="R26">
        <v>15</v>
      </c>
      <c r="S26">
        <v>3</v>
      </c>
      <c r="T26">
        <v>15</v>
      </c>
      <c r="U26">
        <v>12</v>
      </c>
      <c r="V26">
        <v>18</v>
      </c>
      <c r="W26">
        <v>8</v>
      </c>
      <c r="X26">
        <v>16</v>
      </c>
      <c r="Y26">
        <v>10</v>
      </c>
      <c r="Z26">
        <v>3</v>
      </c>
    </row>
    <row r="27" spans="2:26" x14ac:dyDescent="0.25">
      <c r="B27" s="9" t="s">
        <v>88</v>
      </c>
      <c r="C27" s="9" t="str">
        <f>TEXT(Table1[[#This Row],[Order Date]],"mmm")</f>
        <v>Jul</v>
      </c>
      <c r="D27" s="9">
        <v>30</v>
      </c>
      <c r="L27" s="6" t="s">
        <v>288</v>
      </c>
      <c r="M27">
        <v>84.199875579593638</v>
      </c>
      <c r="N27">
        <v>117.07369473968096</v>
      </c>
      <c r="O27">
        <v>10.801234497346433</v>
      </c>
      <c r="P27">
        <v>64.291005073286371</v>
      </c>
      <c r="Q27">
        <v>20.207259421636898</v>
      </c>
      <c r="R27">
        <v>6.8068592855540482</v>
      </c>
      <c r="S27">
        <v>13.650396819628845</v>
      </c>
      <c r="T27">
        <v>20.207259421636905</v>
      </c>
      <c r="U27">
        <v>17.214335111567145</v>
      </c>
      <c r="V27">
        <v>11.23981020005824</v>
      </c>
      <c r="W27">
        <v>26.90724809414742</v>
      </c>
      <c r="X27">
        <v>38.279672586548244</v>
      </c>
      <c r="Y27">
        <v>0</v>
      </c>
      <c r="Z27">
        <v>53.825392083857338</v>
      </c>
    </row>
    <row r="28" spans="2:26" x14ac:dyDescent="0.25">
      <c r="B28" s="32" t="s">
        <v>98</v>
      </c>
      <c r="C28" s="32" t="str">
        <f>TEXT(Table1[[#This Row],[Order Date]],"mmm")</f>
        <v>Aug</v>
      </c>
      <c r="D28" s="32">
        <v>15</v>
      </c>
      <c r="L28" s="6" t="s">
        <v>289</v>
      </c>
      <c r="M28">
        <v>7089.6190476190486</v>
      </c>
      <c r="N28">
        <v>13706.25</v>
      </c>
      <c r="O28">
        <v>116.66666666666667</v>
      </c>
      <c r="P28">
        <v>4133.3333333333339</v>
      </c>
      <c r="Q28">
        <v>408.33333333333326</v>
      </c>
      <c r="R28">
        <v>46.333333333333371</v>
      </c>
      <c r="S28">
        <v>186.33333333333331</v>
      </c>
      <c r="T28">
        <v>408.33333333333348</v>
      </c>
      <c r="U28">
        <v>296.33333333333337</v>
      </c>
      <c r="V28">
        <v>126.33333333333326</v>
      </c>
      <c r="W28">
        <v>724</v>
      </c>
      <c r="X28">
        <v>1465.333333333333</v>
      </c>
      <c r="Y28">
        <v>0</v>
      </c>
      <c r="Z28">
        <v>2897.1728329809725</v>
      </c>
    </row>
    <row r="29" spans="2:26" x14ac:dyDescent="0.25">
      <c r="B29" s="9" t="s">
        <v>107</v>
      </c>
      <c r="C29" s="9" t="str">
        <f>TEXT(Table1[[#This Row],[Order Date]],"mmm")</f>
        <v>Sep</v>
      </c>
      <c r="D29" s="9">
        <v>20</v>
      </c>
    </row>
    <row r="30" spans="2:26" x14ac:dyDescent="0.25">
      <c r="B30" s="32" t="s">
        <v>76</v>
      </c>
      <c r="C30" s="32" t="str">
        <f>TEXT(Table1[[#This Row],[Order Date]],"mmm")</f>
        <v>Oct</v>
      </c>
      <c r="D30" s="32">
        <v>40</v>
      </c>
    </row>
    <row r="31" spans="2:26" x14ac:dyDescent="0.25">
      <c r="B31" s="9" t="s">
        <v>88</v>
      </c>
      <c r="C31" s="9" t="str">
        <f>TEXT(Table1[[#This Row],[Order Date]],"mmm")</f>
        <v>Nov</v>
      </c>
      <c r="D31" s="9">
        <v>60</v>
      </c>
    </row>
    <row r="32" spans="2:26" x14ac:dyDescent="0.25">
      <c r="B32" s="32" t="s">
        <v>98</v>
      </c>
      <c r="C32" s="32" t="str">
        <f>TEXT(Table1[[#This Row],[Order Date]],"mmm")</f>
        <v>Dec</v>
      </c>
      <c r="D32" s="32">
        <v>70</v>
      </c>
      <c r="G32" s="5" t="s">
        <v>210</v>
      </c>
      <c r="H32" t="s">
        <v>284</v>
      </c>
    </row>
    <row r="33" spans="2:8" x14ac:dyDescent="0.25">
      <c r="B33" s="9" t="s">
        <v>107</v>
      </c>
      <c r="C33" s="9" t="str">
        <f>TEXT(Table1[[#This Row],[Order Date]],"mmm")</f>
        <v>Jan</v>
      </c>
      <c r="D33" s="9">
        <v>35</v>
      </c>
      <c r="G33" s="6" t="s">
        <v>297</v>
      </c>
      <c r="H33" s="39">
        <v>0.45454545454545453</v>
      </c>
    </row>
    <row r="34" spans="2:8" x14ac:dyDescent="0.25">
      <c r="B34" s="32" t="s">
        <v>76</v>
      </c>
      <c r="C34" s="32" t="str">
        <f>TEXT(Table1[[#This Row],[Order Date]],"mmm")</f>
        <v>Jan</v>
      </c>
      <c r="D34" s="32">
        <v>15</v>
      </c>
      <c r="G34" s="6" t="s">
        <v>298</v>
      </c>
      <c r="H34" s="39">
        <v>0.27272727272727271</v>
      </c>
    </row>
    <row r="35" spans="2:8" x14ac:dyDescent="0.25">
      <c r="B35" s="9" t="s">
        <v>88</v>
      </c>
      <c r="C35" s="9" t="str">
        <f>TEXT(Table1[[#This Row],[Order Date]],"mmm")</f>
        <v>Feb</v>
      </c>
      <c r="D35" s="9">
        <v>260</v>
      </c>
      <c r="G35" s="6" t="s">
        <v>299</v>
      </c>
      <c r="H35" s="39">
        <v>0.13636363636363635</v>
      </c>
    </row>
    <row r="36" spans="2:8" x14ac:dyDescent="0.25">
      <c r="B36" s="32" t="s">
        <v>98</v>
      </c>
      <c r="C36" s="32" t="str">
        <f>TEXT(Table1[[#This Row],[Order Date]],"mmm")</f>
        <v>Mar</v>
      </c>
      <c r="D36" s="32">
        <v>35</v>
      </c>
      <c r="G36" s="6" t="s">
        <v>344</v>
      </c>
      <c r="H36" s="39">
        <v>4.5454545454545456E-2</v>
      </c>
    </row>
    <row r="37" spans="2:8" x14ac:dyDescent="0.25">
      <c r="B37" s="9" t="s">
        <v>76</v>
      </c>
      <c r="C37" s="9" t="str">
        <f>TEXT(Table1[[#This Row],[Order Date]],"mmm")</f>
        <v>Apr</v>
      </c>
      <c r="D37" s="9">
        <v>40</v>
      </c>
      <c r="G37" s="6" t="s">
        <v>345</v>
      </c>
      <c r="H37" s="39">
        <v>2.2727272727272728E-2</v>
      </c>
    </row>
    <row r="38" spans="2:8" x14ac:dyDescent="0.25">
      <c r="B38" s="32" t="s">
        <v>88</v>
      </c>
      <c r="C38" s="32" t="str">
        <f>TEXT(Table1[[#This Row],[Order Date]],"mmm")</f>
        <v>May</v>
      </c>
      <c r="D38" s="32">
        <v>50</v>
      </c>
      <c r="G38" s="6" t="s">
        <v>300</v>
      </c>
      <c r="H38" s="39">
        <v>2.2727272727272728E-2</v>
      </c>
    </row>
    <row r="39" spans="2:8" x14ac:dyDescent="0.25">
      <c r="B39" s="9" t="s">
        <v>98</v>
      </c>
      <c r="C39" s="9" t="str">
        <f>TEXT(Table1[[#This Row],[Order Date]],"mmm")</f>
        <v>Jun</v>
      </c>
      <c r="D39" s="9">
        <v>15</v>
      </c>
      <c r="G39" s="6" t="s">
        <v>346</v>
      </c>
      <c r="H39" s="39">
        <v>2.2727272727272728E-2</v>
      </c>
    </row>
    <row r="40" spans="2:8" x14ac:dyDescent="0.25">
      <c r="B40" s="32" t="s">
        <v>107</v>
      </c>
      <c r="C40" s="32" t="str">
        <f>TEXT(Table1[[#This Row],[Order Date]],"mmm")</f>
        <v>Jul</v>
      </c>
      <c r="D40" s="32">
        <v>20</v>
      </c>
      <c r="G40" s="6" t="s">
        <v>301</v>
      </c>
      <c r="H40" s="39">
        <v>2.2727272727272728E-2</v>
      </c>
    </row>
    <row r="41" spans="2:8" x14ac:dyDescent="0.25">
      <c r="B41" s="9" t="s">
        <v>76</v>
      </c>
      <c r="C41" s="9" t="str">
        <f>TEXT(Table1[[#This Row],[Order Date]],"mmm")</f>
        <v>Aug</v>
      </c>
      <c r="D41" s="9">
        <v>50</v>
      </c>
      <c r="G41" s="6" t="s">
        <v>211</v>
      </c>
      <c r="H41" s="39">
        <v>1</v>
      </c>
    </row>
    <row r="42" spans="2:8" x14ac:dyDescent="0.25">
      <c r="B42" s="32" t="s">
        <v>88</v>
      </c>
      <c r="C42" s="32" t="str">
        <f>TEXT(Table1[[#This Row],[Order Date]],"mmm")</f>
        <v>Sep</v>
      </c>
      <c r="D42" s="32">
        <v>12</v>
      </c>
    </row>
    <row r="43" spans="2:8" x14ac:dyDescent="0.25">
      <c r="B43" s="9" t="s">
        <v>98</v>
      </c>
      <c r="C43" s="9" t="str">
        <f>TEXT(Table1[[#This Row],[Order Date]],"mmm")</f>
        <v>Oct</v>
      </c>
      <c r="D43" s="9">
        <v>25</v>
      </c>
    </row>
    <row r="44" spans="2:8" x14ac:dyDescent="0.25">
      <c r="B44" s="32" t="s">
        <v>107</v>
      </c>
      <c r="C44" s="32" t="str">
        <f>TEXT(Table1[[#This Row],[Order Date]],"mmm")</f>
        <v>Nov</v>
      </c>
      <c r="D44" s="32">
        <v>8</v>
      </c>
    </row>
    <row r="45" spans="2:8" x14ac:dyDescent="0.25">
      <c r="B45" s="9" t="s">
        <v>76</v>
      </c>
      <c r="C45" s="9" t="str">
        <f>TEXT(Table1[[#This Row],[Order Date]],"mmm")</f>
        <v>Dec</v>
      </c>
      <c r="D45" s="9">
        <v>90</v>
      </c>
    </row>
    <row r="46" spans="2:8" x14ac:dyDescent="0.25">
      <c r="B46" s="32" t="s">
        <v>88</v>
      </c>
      <c r="C46" s="32" t="e">
        <f>TEXT(Table1[[#This Row],[Order Date]],"mmm")</f>
        <v>#VALUE!</v>
      </c>
      <c r="D46" s="32">
        <v>10</v>
      </c>
    </row>
    <row r="47" spans="2:8" x14ac:dyDescent="0.25">
      <c r="B47" s="13" t="s">
        <v>98</v>
      </c>
      <c r="C47" s="13" t="e">
        <f>TEXT(Table1[[#This Row],[Order Date]],"mmm")</f>
        <v>#VALUE!</v>
      </c>
      <c r="D47" s="13">
        <v>10</v>
      </c>
    </row>
  </sheetData>
  <sortState xmlns:xlrd2="http://schemas.microsoft.com/office/spreadsheetml/2017/richdata2" ref="P4:P11">
    <sortCondition ref="P4"/>
  </sortState>
  <phoneticPr fontId="7" type="noConversion"/>
  <pageMargins left="0.7" right="0.7" top="0.75" bottom="0.75" header="0.3" footer="0.3"/>
  <drawing r:id="rId3"/>
  <tableParts count="4">
    <tablePart r:id="rId4"/>
    <tablePart r:id="rId5"/>
    <tablePart r:id="rId6"/>
    <tablePart r:id="rId7"/>
  </tableParts>
  <extLst>
    <ext xmlns:x14="http://schemas.microsoft.com/office/spreadsheetml/2009/9/main" uri="{05C60535-1F16-4fd2-B633-F4F36F0B64E0}">
      <x14:sparklineGroups xmlns:xm="http://schemas.microsoft.com/office/excel/2006/main">
        <x14:sparklineGroup type="column" displayEmptyCellsAs="gap" xr2:uid="{977D8C32-65E1-40D0-8C7F-FA928915A460}">
          <x14:colorSeries rgb="FF376092"/>
          <x14:colorNegative rgb="FFD00000"/>
          <x14:colorAxis rgb="FF000000"/>
          <x14:colorMarkers rgb="FFD00000"/>
          <x14:colorFirst rgb="FFD00000"/>
          <x14:colorLast rgb="FFD00000"/>
          <x14:colorHigh rgb="FFD00000"/>
          <x14:colorLow rgb="FFD00000"/>
          <x14:sparklines>
            <x14:sparkline>
              <xm:f>'Statistical Analysis'!G33:G40</xm:f>
              <xm:sqref>K32</xm:sqref>
            </x14:sparkline>
          </x14:sparklines>
        </x14:sparklineGroup>
      </x14:sparklineGroups>
    </ex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A1F73-9376-4B0F-8E79-C3435697B586}">
  <sheetPr codeName="Sheet7"/>
  <dimension ref="A1:D30"/>
  <sheetViews>
    <sheetView workbookViewId="0">
      <selection activeCell="L27" sqref="L27"/>
    </sheetView>
  </sheetViews>
  <sheetFormatPr defaultRowHeight="15" x14ac:dyDescent="0.25"/>
  <cols>
    <col min="1" max="1" width="12.85546875" customWidth="1"/>
    <col min="2" max="2" width="9.28515625" bestFit="1" customWidth="1"/>
    <col min="3" max="3" width="16.5703125" customWidth="1"/>
    <col min="4" max="4" width="26.5703125" customWidth="1"/>
  </cols>
  <sheetData>
    <row r="1" spans="1:4" x14ac:dyDescent="0.25">
      <c r="A1" t="s">
        <v>46</v>
      </c>
      <c r="B1" t="s">
        <v>53</v>
      </c>
      <c r="C1" t="s">
        <v>302</v>
      </c>
      <c r="D1" t="s">
        <v>303</v>
      </c>
    </row>
    <row r="2" spans="1:4" x14ac:dyDescent="0.25">
      <c r="A2" s="2">
        <v>44569</v>
      </c>
      <c r="B2">
        <v>293</v>
      </c>
    </row>
    <row r="3" spans="1:4" x14ac:dyDescent="0.25">
      <c r="A3" s="2">
        <v>44604</v>
      </c>
      <c r="B3">
        <v>158.33333333333334</v>
      </c>
    </row>
    <row r="4" spans="1:4" x14ac:dyDescent="0.25">
      <c r="A4" s="2">
        <v>44625</v>
      </c>
      <c r="B4">
        <v>45</v>
      </c>
    </row>
    <row r="5" spans="1:4" x14ac:dyDescent="0.25">
      <c r="A5" s="2">
        <v>44666</v>
      </c>
      <c r="B5">
        <v>80</v>
      </c>
    </row>
    <row r="6" spans="1:4" x14ac:dyDescent="0.25">
      <c r="A6" s="2">
        <v>44713</v>
      </c>
      <c r="B6">
        <v>130</v>
      </c>
    </row>
    <row r="7" spans="1:4" x14ac:dyDescent="0.25">
      <c r="A7" s="2">
        <v>44747</v>
      </c>
      <c r="B7">
        <v>120</v>
      </c>
    </row>
    <row r="8" spans="1:4" x14ac:dyDescent="0.25">
      <c r="A8" s="2">
        <v>44783</v>
      </c>
      <c r="B8">
        <v>70</v>
      </c>
    </row>
    <row r="9" spans="1:4" x14ac:dyDescent="0.25">
      <c r="A9" s="2">
        <v>44819</v>
      </c>
      <c r="B9">
        <v>90</v>
      </c>
    </row>
    <row r="10" spans="1:4" x14ac:dyDescent="0.25">
      <c r="A10" s="2">
        <v>44854</v>
      </c>
      <c r="B10">
        <v>80</v>
      </c>
    </row>
    <row r="11" spans="1:4" x14ac:dyDescent="0.25">
      <c r="A11" s="2">
        <v>44866</v>
      </c>
      <c r="B11">
        <v>35</v>
      </c>
    </row>
    <row r="12" spans="1:4" x14ac:dyDescent="0.25">
      <c r="A12" s="2">
        <v>44900</v>
      </c>
      <c r="B12">
        <v>50</v>
      </c>
    </row>
    <row r="13" spans="1:4" x14ac:dyDescent="0.25">
      <c r="A13" s="2">
        <v>44949</v>
      </c>
      <c r="B13">
        <v>247.5</v>
      </c>
    </row>
    <row r="14" spans="1:4" x14ac:dyDescent="0.25">
      <c r="A14" s="2">
        <v>44967</v>
      </c>
      <c r="B14">
        <v>800</v>
      </c>
    </row>
    <row r="15" spans="1:4" x14ac:dyDescent="0.25">
      <c r="A15" s="2">
        <v>45000</v>
      </c>
      <c r="B15">
        <v>120</v>
      </c>
    </row>
    <row r="16" spans="1:4" x14ac:dyDescent="0.25">
      <c r="A16" s="2">
        <v>45047</v>
      </c>
      <c r="B16">
        <v>85</v>
      </c>
    </row>
    <row r="17" spans="1:4" x14ac:dyDescent="0.25">
      <c r="A17" s="2">
        <v>45082</v>
      </c>
      <c r="B17">
        <v>40</v>
      </c>
    </row>
    <row r="18" spans="1:4" x14ac:dyDescent="0.25">
      <c r="A18" s="2">
        <v>45117</v>
      </c>
      <c r="B18">
        <v>90</v>
      </c>
    </row>
    <row r="19" spans="1:4" x14ac:dyDescent="0.25">
      <c r="A19" s="2">
        <v>45153</v>
      </c>
      <c r="B19">
        <v>180</v>
      </c>
    </row>
    <row r="20" spans="1:4" x14ac:dyDescent="0.25">
      <c r="A20" s="2">
        <v>45189</v>
      </c>
      <c r="B20">
        <v>150</v>
      </c>
    </row>
    <row r="21" spans="1:4" x14ac:dyDescent="0.25">
      <c r="A21" s="2">
        <v>45224</v>
      </c>
      <c r="B21">
        <v>230</v>
      </c>
    </row>
    <row r="22" spans="1:4" x14ac:dyDescent="0.25">
      <c r="A22" s="2">
        <v>45265</v>
      </c>
      <c r="B22">
        <v>50</v>
      </c>
    </row>
    <row r="23" spans="1:4" x14ac:dyDescent="0.25">
      <c r="A23" s="2">
        <v>45296</v>
      </c>
      <c r="B23">
        <v>1300</v>
      </c>
      <c r="C23">
        <f t="shared" ref="C23:C30" si="0">_xlfn.FORECAST.ETS(A23,$B$2:$B$22,$A$2:$A$22,1,1)</f>
        <v>161.25234081400214</v>
      </c>
      <c r="D23">
        <f t="shared" ref="D23:D30" si="1">_xlfn.FORECAST.ETS.CONFINT(A23,$B$2:$B$22,$A$2:$A$22,0.95,1,1)</f>
        <v>338.08623620850562</v>
      </c>
    </row>
    <row r="24" spans="1:4" x14ac:dyDescent="0.25">
      <c r="A24" s="2">
        <v>45333</v>
      </c>
      <c r="C24">
        <f t="shared" si="0"/>
        <v>161.33980234641598</v>
      </c>
      <c r="D24">
        <f t="shared" si="1"/>
        <v>361.9578842871054</v>
      </c>
    </row>
    <row r="25" spans="1:4" x14ac:dyDescent="0.25">
      <c r="A25" s="2">
        <v>45367</v>
      </c>
      <c r="C25">
        <f t="shared" si="0"/>
        <v>161.42017240322863</v>
      </c>
      <c r="D25">
        <f t="shared" si="1"/>
        <v>364.78156519609087</v>
      </c>
    </row>
    <row r="26" spans="1:4" x14ac:dyDescent="0.25">
      <c r="A26" s="2">
        <v>45401</v>
      </c>
      <c r="C26">
        <f t="shared" si="0"/>
        <v>161.50054246004134</v>
      </c>
      <c r="D26">
        <f t="shared" si="1"/>
        <v>367.62606921349726</v>
      </c>
    </row>
    <row r="27" spans="1:4" x14ac:dyDescent="0.25">
      <c r="A27" s="2">
        <v>45435</v>
      </c>
      <c r="C27">
        <f t="shared" si="0"/>
        <v>161.580912516854</v>
      </c>
      <c r="D27">
        <f t="shared" si="1"/>
        <v>370.49123518906316</v>
      </c>
    </row>
    <row r="28" spans="1:4" x14ac:dyDescent="0.25">
      <c r="A28" s="2">
        <v>45469</v>
      </c>
      <c r="C28">
        <f t="shared" si="0"/>
        <v>161.66128257366671</v>
      </c>
      <c r="D28">
        <f t="shared" si="1"/>
        <v>373.3769034708896</v>
      </c>
    </row>
    <row r="29" spans="1:4" x14ac:dyDescent="0.25">
      <c r="A29" s="2">
        <v>45503</v>
      </c>
      <c r="C29">
        <f t="shared" si="0"/>
        <v>161.74165263047934</v>
      </c>
      <c r="D29">
        <f t="shared" si="1"/>
        <v>376.28291593572561</v>
      </c>
    </row>
    <row r="30" spans="1:4" x14ac:dyDescent="0.25">
      <c r="A30" s="2">
        <v>45504</v>
      </c>
      <c r="C30">
        <f t="shared" si="0"/>
        <v>161.74401645567971</v>
      </c>
      <c r="D30">
        <f t="shared" si="1"/>
        <v>376.36827455802427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A1765-9295-4801-B281-3516712AA3BF}">
  <sheetPr codeName="Sheet11"/>
  <dimension ref="B8:K52"/>
  <sheetViews>
    <sheetView workbookViewId="0">
      <selection activeCell="P24" sqref="P24"/>
    </sheetView>
  </sheetViews>
  <sheetFormatPr defaultRowHeight="15" x14ac:dyDescent="0.25"/>
  <cols>
    <col min="2" max="4" width="16.42578125" customWidth="1"/>
    <col min="5" max="5" width="13" customWidth="1"/>
    <col min="8" max="8" width="14.7109375" customWidth="1"/>
    <col min="10" max="10" width="17.42578125" customWidth="1"/>
  </cols>
  <sheetData>
    <row r="8" spans="2:11" x14ac:dyDescent="0.25">
      <c r="B8" s="34" t="s">
        <v>338</v>
      </c>
      <c r="C8" s="34" t="s">
        <v>304</v>
      </c>
      <c r="D8" s="34" t="s">
        <v>304</v>
      </c>
      <c r="E8" s="34" t="s">
        <v>55</v>
      </c>
      <c r="J8" s="34" t="s">
        <v>48</v>
      </c>
      <c r="K8" s="34" t="s">
        <v>55</v>
      </c>
    </row>
    <row r="9" spans="2:11" x14ac:dyDescent="0.25">
      <c r="B9" s="32" t="s">
        <v>305</v>
      </c>
      <c r="C9" s="32"/>
      <c r="D9" s="32" t="s">
        <v>306</v>
      </c>
      <c r="E9" s="32">
        <v>240</v>
      </c>
      <c r="J9" s="32" t="s">
        <v>71</v>
      </c>
      <c r="K9" s="32">
        <v>240</v>
      </c>
    </row>
    <row r="10" spans="2:11" x14ac:dyDescent="0.25">
      <c r="B10" s="9" t="s">
        <v>307</v>
      </c>
      <c r="C10" s="9"/>
      <c r="D10" s="9" t="s">
        <v>308</v>
      </c>
      <c r="E10" s="9">
        <v>10</v>
      </c>
      <c r="J10" s="9" t="s">
        <v>83</v>
      </c>
      <c r="K10" s="9">
        <v>10</v>
      </c>
    </row>
    <row r="11" spans="2:11" x14ac:dyDescent="0.25">
      <c r="B11" s="32" t="s">
        <v>309</v>
      </c>
      <c r="C11" s="32"/>
      <c r="D11" s="32" t="s">
        <v>310</v>
      </c>
      <c r="E11" s="32">
        <v>30</v>
      </c>
      <c r="J11" s="32" t="s">
        <v>95</v>
      </c>
      <c r="K11" s="32">
        <v>30</v>
      </c>
    </row>
    <row r="12" spans="2:11" x14ac:dyDescent="0.25">
      <c r="B12" s="9" t="s">
        <v>305</v>
      </c>
      <c r="C12" s="9"/>
      <c r="D12" s="9" t="s">
        <v>306</v>
      </c>
      <c r="E12" s="9">
        <v>5</v>
      </c>
      <c r="J12" s="9" t="s">
        <v>71</v>
      </c>
      <c r="K12" s="9">
        <v>5</v>
      </c>
    </row>
    <row r="13" spans="2:11" x14ac:dyDescent="0.25">
      <c r="B13" s="32" t="s">
        <v>311</v>
      </c>
      <c r="C13" s="32"/>
      <c r="D13" s="32" t="s">
        <v>312</v>
      </c>
      <c r="E13" s="32">
        <v>20</v>
      </c>
      <c r="J13" s="32" t="s">
        <v>104</v>
      </c>
      <c r="K13" s="32">
        <v>20</v>
      </c>
    </row>
    <row r="14" spans="2:11" x14ac:dyDescent="0.25">
      <c r="B14" s="9" t="s">
        <v>307</v>
      </c>
      <c r="C14" s="9"/>
      <c r="D14" s="9" t="s">
        <v>308</v>
      </c>
      <c r="E14" s="9">
        <v>15</v>
      </c>
      <c r="J14" s="9" t="s">
        <v>83</v>
      </c>
      <c r="K14" s="9">
        <v>15</v>
      </c>
    </row>
    <row r="15" spans="2:11" x14ac:dyDescent="0.25">
      <c r="B15" s="32" t="s">
        <v>313</v>
      </c>
      <c r="C15" s="32"/>
      <c r="D15" s="32" t="s">
        <v>314</v>
      </c>
      <c r="E15" s="32">
        <v>40</v>
      </c>
      <c r="J15" s="32" t="s">
        <v>113</v>
      </c>
      <c r="K15" s="32">
        <v>40</v>
      </c>
    </row>
    <row r="16" spans="2:11" x14ac:dyDescent="0.25">
      <c r="B16" s="9" t="s">
        <v>309</v>
      </c>
      <c r="C16" s="9"/>
      <c r="D16" s="9" t="s">
        <v>310</v>
      </c>
      <c r="E16" s="9">
        <v>60</v>
      </c>
      <c r="J16" s="9" t="s">
        <v>95</v>
      </c>
      <c r="K16" s="9">
        <v>60</v>
      </c>
    </row>
    <row r="17" spans="2:11" x14ac:dyDescent="0.25">
      <c r="B17" s="32" t="s">
        <v>305</v>
      </c>
      <c r="C17" s="32"/>
      <c r="D17" s="32" t="s">
        <v>306</v>
      </c>
      <c r="E17" s="32">
        <v>10</v>
      </c>
      <c r="J17" s="32" t="s">
        <v>71</v>
      </c>
      <c r="K17" s="32">
        <v>10</v>
      </c>
    </row>
    <row r="18" spans="2:11" x14ac:dyDescent="0.25">
      <c r="B18" s="9" t="s">
        <v>315</v>
      </c>
      <c r="C18" s="9"/>
      <c r="D18" s="9" t="s">
        <v>316</v>
      </c>
      <c r="E18" s="9">
        <v>25</v>
      </c>
      <c r="J18" s="9" t="s">
        <v>121</v>
      </c>
      <c r="K18" s="9">
        <v>25</v>
      </c>
    </row>
    <row r="19" spans="2:11" x14ac:dyDescent="0.25">
      <c r="B19" s="32" t="s">
        <v>311</v>
      </c>
      <c r="C19" s="32"/>
      <c r="D19" s="32" t="s">
        <v>312</v>
      </c>
      <c r="E19" s="32">
        <v>3</v>
      </c>
      <c r="J19" s="32" t="s">
        <v>104</v>
      </c>
      <c r="K19" s="32">
        <v>3</v>
      </c>
    </row>
    <row r="20" spans="2:11" x14ac:dyDescent="0.25">
      <c r="B20" s="9" t="s">
        <v>317</v>
      </c>
      <c r="C20" s="9"/>
      <c r="D20" s="9" t="s">
        <v>318</v>
      </c>
      <c r="E20" s="9">
        <v>50</v>
      </c>
      <c r="J20" s="9" t="s">
        <v>128</v>
      </c>
      <c r="K20" s="9">
        <v>50</v>
      </c>
    </row>
    <row r="21" spans="2:11" x14ac:dyDescent="0.25">
      <c r="B21" s="32" t="s">
        <v>313</v>
      </c>
      <c r="C21" s="32"/>
      <c r="D21" s="32" t="s">
        <v>314</v>
      </c>
      <c r="E21" s="32">
        <v>45</v>
      </c>
      <c r="J21" s="32" t="s">
        <v>113</v>
      </c>
      <c r="K21" s="32">
        <v>45</v>
      </c>
    </row>
    <row r="22" spans="2:11" x14ac:dyDescent="0.25">
      <c r="B22" s="9" t="s">
        <v>319</v>
      </c>
      <c r="C22" s="9"/>
      <c r="D22" s="9" t="s">
        <v>320</v>
      </c>
      <c r="E22" s="9">
        <v>18</v>
      </c>
      <c r="J22" s="9" t="s">
        <v>134</v>
      </c>
      <c r="K22" s="9">
        <v>18</v>
      </c>
    </row>
    <row r="23" spans="2:11" x14ac:dyDescent="0.25">
      <c r="B23" s="32" t="s">
        <v>321</v>
      </c>
      <c r="C23" s="32"/>
      <c r="D23" s="32" t="s">
        <v>322</v>
      </c>
      <c r="E23" s="32">
        <v>22</v>
      </c>
      <c r="J23" s="32" t="s">
        <v>139</v>
      </c>
      <c r="K23" s="32">
        <v>22</v>
      </c>
    </row>
    <row r="24" spans="2:11" x14ac:dyDescent="0.25">
      <c r="B24" s="9" t="s">
        <v>305</v>
      </c>
      <c r="C24" s="9"/>
      <c r="D24" s="9" t="s">
        <v>306</v>
      </c>
      <c r="E24" s="9">
        <v>16</v>
      </c>
      <c r="J24" s="9" t="s">
        <v>71</v>
      </c>
      <c r="K24" s="9">
        <v>16</v>
      </c>
    </row>
    <row r="25" spans="2:11" x14ac:dyDescent="0.25">
      <c r="B25" s="32" t="s">
        <v>323</v>
      </c>
      <c r="C25" s="32"/>
      <c r="D25" s="32" t="s">
        <v>324</v>
      </c>
      <c r="E25" s="32">
        <v>8</v>
      </c>
      <c r="J25" s="32" t="s">
        <v>145</v>
      </c>
      <c r="K25" s="32">
        <v>8</v>
      </c>
    </row>
    <row r="26" spans="2:11" x14ac:dyDescent="0.25">
      <c r="B26" s="9" t="s">
        <v>307</v>
      </c>
      <c r="C26" s="9"/>
      <c r="D26" s="9" t="s">
        <v>308</v>
      </c>
      <c r="E26" s="9">
        <v>15</v>
      </c>
      <c r="J26" s="9" t="s">
        <v>83</v>
      </c>
      <c r="K26" s="9">
        <v>15</v>
      </c>
    </row>
    <row r="27" spans="2:11" x14ac:dyDescent="0.25">
      <c r="B27" s="32" t="s">
        <v>309</v>
      </c>
      <c r="C27" s="32"/>
      <c r="D27" s="32" t="s">
        <v>310</v>
      </c>
      <c r="E27" s="32">
        <v>80</v>
      </c>
      <c r="J27" s="32" t="s">
        <v>95</v>
      </c>
      <c r="K27" s="32">
        <v>80</v>
      </c>
    </row>
    <row r="28" spans="2:11" x14ac:dyDescent="0.25">
      <c r="B28" s="9" t="s">
        <v>315</v>
      </c>
      <c r="C28" s="9"/>
      <c r="D28" s="9" t="s">
        <v>316</v>
      </c>
      <c r="E28" s="9">
        <v>30</v>
      </c>
      <c r="J28" s="9" t="s">
        <v>121</v>
      </c>
      <c r="K28" s="9">
        <v>30</v>
      </c>
    </row>
    <row r="29" spans="2:11" x14ac:dyDescent="0.25">
      <c r="B29" s="32" t="s">
        <v>305</v>
      </c>
      <c r="C29" s="32"/>
      <c r="D29" s="32" t="s">
        <v>306</v>
      </c>
      <c r="E29" s="32">
        <v>160</v>
      </c>
      <c r="J29" s="32" t="s">
        <v>71</v>
      </c>
      <c r="K29" s="32">
        <v>160</v>
      </c>
    </row>
    <row r="30" spans="2:11" x14ac:dyDescent="0.25">
      <c r="B30" s="9" t="s">
        <v>317</v>
      </c>
      <c r="C30" s="9"/>
      <c r="D30" s="9" t="s">
        <v>318</v>
      </c>
      <c r="E30" s="9">
        <v>25</v>
      </c>
      <c r="J30" s="9" t="s">
        <v>128</v>
      </c>
      <c r="K30" s="9">
        <v>25</v>
      </c>
    </row>
    <row r="31" spans="2:11" x14ac:dyDescent="0.25">
      <c r="B31" s="32" t="s">
        <v>313</v>
      </c>
      <c r="C31" s="32"/>
      <c r="D31" s="32" t="s">
        <v>314</v>
      </c>
      <c r="E31" s="32">
        <v>28</v>
      </c>
      <c r="J31" s="32" t="s">
        <v>113</v>
      </c>
      <c r="K31" s="32">
        <v>28</v>
      </c>
    </row>
    <row r="32" spans="2:11" x14ac:dyDescent="0.25">
      <c r="B32" s="9" t="s">
        <v>319</v>
      </c>
      <c r="C32" s="9"/>
      <c r="D32" s="9" t="s">
        <v>320</v>
      </c>
      <c r="E32" s="9">
        <v>30</v>
      </c>
      <c r="J32" s="9" t="s">
        <v>134</v>
      </c>
      <c r="K32" s="9">
        <v>30</v>
      </c>
    </row>
    <row r="33" spans="2:11" x14ac:dyDescent="0.25">
      <c r="B33" s="32" t="s">
        <v>321</v>
      </c>
      <c r="C33" s="32"/>
      <c r="D33" s="32" t="s">
        <v>322</v>
      </c>
      <c r="E33" s="32">
        <v>15</v>
      </c>
      <c r="J33" s="32" t="s">
        <v>139</v>
      </c>
      <c r="K33" s="32">
        <v>15</v>
      </c>
    </row>
    <row r="34" spans="2:11" x14ac:dyDescent="0.25">
      <c r="B34" s="9" t="s">
        <v>323</v>
      </c>
      <c r="C34" s="9"/>
      <c r="D34" s="9" t="s">
        <v>324</v>
      </c>
      <c r="E34" s="9">
        <v>20</v>
      </c>
      <c r="J34" s="9" t="s">
        <v>145</v>
      </c>
      <c r="K34" s="9">
        <v>20</v>
      </c>
    </row>
    <row r="35" spans="2:11" x14ac:dyDescent="0.25">
      <c r="B35" s="32" t="s">
        <v>305</v>
      </c>
      <c r="C35" s="32"/>
      <c r="D35" s="32" t="s">
        <v>306</v>
      </c>
      <c r="E35" s="32">
        <v>40</v>
      </c>
      <c r="J35" s="32" t="s">
        <v>71</v>
      </c>
      <c r="K35" s="32">
        <v>40</v>
      </c>
    </row>
    <row r="36" spans="2:11" x14ac:dyDescent="0.25">
      <c r="B36" s="9" t="s">
        <v>307</v>
      </c>
      <c r="C36" s="9"/>
      <c r="D36" s="9" t="s">
        <v>308</v>
      </c>
      <c r="E36" s="9">
        <v>60</v>
      </c>
      <c r="J36" s="9" t="s">
        <v>83</v>
      </c>
      <c r="K36" s="9">
        <v>60</v>
      </c>
    </row>
    <row r="37" spans="2:11" x14ac:dyDescent="0.25">
      <c r="B37" s="32" t="s">
        <v>309</v>
      </c>
      <c r="C37" s="32"/>
      <c r="D37" s="32" t="s">
        <v>310</v>
      </c>
      <c r="E37" s="32">
        <v>70</v>
      </c>
      <c r="J37" s="32" t="s">
        <v>95</v>
      </c>
      <c r="K37" s="32">
        <v>70</v>
      </c>
    </row>
    <row r="38" spans="2:11" x14ac:dyDescent="0.25">
      <c r="B38" s="9" t="s">
        <v>311</v>
      </c>
      <c r="C38" s="9"/>
      <c r="D38" s="9" t="s">
        <v>312</v>
      </c>
      <c r="E38" s="9">
        <v>35</v>
      </c>
      <c r="J38" s="9" t="s">
        <v>104</v>
      </c>
      <c r="K38" s="9">
        <v>35</v>
      </c>
    </row>
    <row r="39" spans="2:11" x14ac:dyDescent="0.25">
      <c r="B39" s="32" t="s">
        <v>313</v>
      </c>
      <c r="C39" s="32"/>
      <c r="D39" s="32" t="s">
        <v>314</v>
      </c>
      <c r="E39" s="32">
        <v>15</v>
      </c>
      <c r="J39" s="32" t="s">
        <v>113</v>
      </c>
      <c r="K39" s="32">
        <v>15</v>
      </c>
    </row>
    <row r="40" spans="2:11" x14ac:dyDescent="0.25">
      <c r="B40" s="9" t="s">
        <v>315</v>
      </c>
      <c r="C40" s="9"/>
      <c r="D40" s="9" t="s">
        <v>316</v>
      </c>
      <c r="E40" s="9">
        <v>260</v>
      </c>
      <c r="J40" s="9" t="s">
        <v>121</v>
      </c>
      <c r="K40" s="9">
        <v>260</v>
      </c>
    </row>
    <row r="41" spans="2:11" x14ac:dyDescent="0.25">
      <c r="B41" s="32" t="s">
        <v>317</v>
      </c>
      <c r="C41" s="32"/>
      <c r="D41" s="32" t="s">
        <v>318</v>
      </c>
      <c r="E41" s="32">
        <v>35</v>
      </c>
      <c r="J41" s="32" t="s">
        <v>128</v>
      </c>
      <c r="K41" s="32">
        <v>35</v>
      </c>
    </row>
    <row r="42" spans="2:11" x14ac:dyDescent="0.25">
      <c r="B42" s="9" t="s">
        <v>319</v>
      </c>
      <c r="C42" s="9"/>
      <c r="D42" s="9" t="s">
        <v>320</v>
      </c>
      <c r="E42" s="9">
        <v>40</v>
      </c>
      <c r="J42" s="9" t="s">
        <v>134</v>
      </c>
      <c r="K42" s="9">
        <v>40</v>
      </c>
    </row>
    <row r="43" spans="2:11" x14ac:dyDescent="0.25">
      <c r="B43" s="32" t="s">
        <v>321</v>
      </c>
      <c r="C43" s="32"/>
      <c r="D43" s="32" t="s">
        <v>322</v>
      </c>
      <c r="E43" s="32">
        <v>50</v>
      </c>
      <c r="J43" s="32" t="s">
        <v>139</v>
      </c>
      <c r="K43" s="32">
        <v>50</v>
      </c>
    </row>
    <row r="44" spans="2:11" x14ac:dyDescent="0.25">
      <c r="B44" s="9" t="s">
        <v>323</v>
      </c>
      <c r="C44" s="9"/>
      <c r="D44" s="9" t="s">
        <v>324</v>
      </c>
      <c r="E44" s="9">
        <v>15</v>
      </c>
      <c r="J44" s="9" t="s">
        <v>145</v>
      </c>
      <c r="K44" s="9">
        <v>15</v>
      </c>
    </row>
    <row r="45" spans="2:11" x14ac:dyDescent="0.25">
      <c r="B45" s="32" t="s">
        <v>305</v>
      </c>
      <c r="C45" s="32"/>
      <c r="D45" s="32" t="s">
        <v>306</v>
      </c>
      <c r="E45" s="32">
        <v>20</v>
      </c>
      <c r="J45" s="32" t="s">
        <v>71</v>
      </c>
      <c r="K45" s="32">
        <v>20</v>
      </c>
    </row>
    <row r="46" spans="2:11" x14ac:dyDescent="0.25">
      <c r="B46" s="9" t="s">
        <v>307</v>
      </c>
      <c r="C46" s="9"/>
      <c r="D46" s="9" t="s">
        <v>308</v>
      </c>
      <c r="E46" s="9">
        <v>50</v>
      </c>
      <c r="J46" s="9" t="s">
        <v>83</v>
      </c>
      <c r="K46" s="9">
        <v>50</v>
      </c>
    </row>
    <row r="47" spans="2:11" x14ac:dyDescent="0.25">
      <c r="B47" s="32" t="s">
        <v>309</v>
      </c>
      <c r="C47" s="32"/>
      <c r="D47" s="32" t="s">
        <v>310</v>
      </c>
      <c r="E47" s="32">
        <v>12</v>
      </c>
      <c r="J47" s="32" t="s">
        <v>95</v>
      </c>
      <c r="K47" s="32">
        <v>12</v>
      </c>
    </row>
    <row r="48" spans="2:11" x14ac:dyDescent="0.25">
      <c r="B48" s="9" t="s">
        <v>311</v>
      </c>
      <c r="C48" s="9"/>
      <c r="D48" s="9" t="s">
        <v>312</v>
      </c>
      <c r="E48" s="9">
        <v>25</v>
      </c>
      <c r="J48" s="9" t="s">
        <v>104</v>
      </c>
      <c r="K48" s="9">
        <v>25</v>
      </c>
    </row>
    <row r="49" spans="2:11" x14ac:dyDescent="0.25">
      <c r="B49" s="32" t="s">
        <v>313</v>
      </c>
      <c r="C49" s="32"/>
      <c r="D49" s="32" t="s">
        <v>314</v>
      </c>
      <c r="E49" s="32">
        <v>8</v>
      </c>
      <c r="J49" s="32" t="s">
        <v>113</v>
      </c>
      <c r="K49" s="32">
        <v>8</v>
      </c>
    </row>
    <row r="50" spans="2:11" x14ac:dyDescent="0.25">
      <c r="B50" s="9" t="s">
        <v>315</v>
      </c>
      <c r="C50" s="9"/>
      <c r="D50" s="9" t="s">
        <v>316</v>
      </c>
      <c r="E50" s="9">
        <v>90</v>
      </c>
      <c r="J50" s="9" t="s">
        <v>121</v>
      </c>
      <c r="K50" s="9">
        <v>90</v>
      </c>
    </row>
    <row r="51" spans="2:11" x14ac:dyDescent="0.25">
      <c r="B51" s="32" t="s">
        <v>317</v>
      </c>
      <c r="C51" s="32"/>
      <c r="D51" s="32" t="s">
        <v>318</v>
      </c>
      <c r="E51" s="32">
        <v>10</v>
      </c>
      <c r="J51" s="32" t="s">
        <v>128</v>
      </c>
      <c r="K51" s="32">
        <v>10</v>
      </c>
    </row>
    <row r="52" spans="2:11" x14ac:dyDescent="0.25">
      <c r="B52" s="9" t="s">
        <v>319</v>
      </c>
      <c r="C52" s="9"/>
      <c r="D52" s="9" t="s">
        <v>320</v>
      </c>
      <c r="E52" s="9">
        <v>10</v>
      </c>
      <c r="J52" s="9" t="s">
        <v>134</v>
      </c>
      <c r="K52" s="9">
        <v>10</v>
      </c>
    </row>
  </sheetData>
  <conditionalFormatting sqref="E9:E52">
    <cfRule type="cellIs" dxfId="18" priority="5" operator="greaterThan">
      <formula>45</formula>
    </cfRule>
  </conditionalFormatting>
  <conditionalFormatting sqref="D9:D52">
    <cfRule type="cellIs" dxfId="17" priority="4" operator="greaterThan">
      <formula>45</formula>
    </cfRule>
  </conditionalFormatting>
  <conditionalFormatting sqref="D9:D100">
    <cfRule type="cellIs" dxfId="16" priority="3" operator="greaterThan">
      <formula>45</formula>
    </cfRule>
    <cfRule type="cellIs" dxfId="15" priority="1" operator="greaterThan">
      <formula>45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Format_Customer_Data">
                <anchor moveWithCells="1" sizeWithCells="1">
                  <from>
                    <xdr:col>13</xdr:col>
                    <xdr:colOff>400050</xdr:colOff>
                    <xdr:row>7</xdr:row>
                    <xdr:rowOff>133350</xdr:rowOff>
                  </from>
                  <to>
                    <xdr:col>16</xdr:col>
                    <xdr:colOff>342900</xdr:colOff>
                    <xdr:row>10</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32CD3-8925-4B32-90CD-1AAD0B98294A}">
  <dimension ref="C3"/>
  <sheetViews>
    <sheetView workbookViewId="0">
      <selection activeCell="J3" sqref="J3"/>
    </sheetView>
  </sheetViews>
  <sheetFormatPr defaultRowHeight="15" x14ac:dyDescent="0.25"/>
  <cols>
    <col min="3" max="3" width="111" customWidth="1"/>
  </cols>
  <sheetData>
    <row r="3" spans="3:3" ht="409.5" x14ac:dyDescent="0.25">
      <c r="C3" s="58" t="s">
        <v>347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E043-D91D-484C-B588-9EAC23DF1794}">
  <sheetPr codeName="Sheet9"/>
  <dimension ref="D4:CS48"/>
  <sheetViews>
    <sheetView workbookViewId="0">
      <selection activeCell="I28" sqref="I28"/>
    </sheetView>
  </sheetViews>
  <sheetFormatPr defaultRowHeight="15" x14ac:dyDescent="0.25"/>
  <cols>
    <col min="2" max="2" width="13.140625" bestFit="1" customWidth="1"/>
    <col min="3" max="3" width="12.140625" bestFit="1" customWidth="1"/>
    <col min="4" max="4" width="13.140625" bestFit="1" customWidth="1"/>
    <col min="5" max="5" width="12.140625" bestFit="1" customWidth="1"/>
    <col min="6" max="6" width="11.85546875" bestFit="1" customWidth="1"/>
    <col min="7" max="7" width="9.28515625" bestFit="1" customWidth="1"/>
    <col min="8" max="8" width="13.140625" bestFit="1" customWidth="1"/>
    <col min="9" max="9" width="12.140625" bestFit="1" customWidth="1"/>
    <col min="10" max="10" width="12.5703125" bestFit="1" customWidth="1"/>
    <col min="11" max="11" width="9.5703125" customWidth="1"/>
    <col min="12" max="12" width="10.5703125" bestFit="1" customWidth="1"/>
    <col min="13" max="13" width="11.28515625" bestFit="1" customWidth="1"/>
    <col min="22" max="22" width="13.140625" bestFit="1" customWidth="1"/>
    <col min="23" max="23" width="12.140625" bestFit="1" customWidth="1"/>
    <col min="41" max="41" width="13.140625" bestFit="1" customWidth="1"/>
    <col min="42" max="42" width="12.140625" bestFit="1" customWidth="1"/>
    <col min="50" max="50" width="13.140625" bestFit="1" customWidth="1"/>
    <col min="51" max="51" width="12.140625" bestFit="1" customWidth="1"/>
    <col min="65" max="65" width="13.140625" bestFit="1" customWidth="1"/>
    <col min="66" max="66" width="12.5703125" bestFit="1" customWidth="1"/>
    <col min="78" max="78" width="18.28515625" bestFit="1" customWidth="1"/>
    <col min="79" max="79" width="12.140625" bestFit="1" customWidth="1"/>
    <col min="91" max="91" width="14.28515625" bestFit="1" customWidth="1"/>
    <col min="92" max="92" width="20" bestFit="1" customWidth="1"/>
    <col min="93" max="93" width="7" bestFit="1" customWidth="1"/>
    <col min="95" max="95" width="14.7109375" customWidth="1"/>
    <col min="96" max="96" width="19.5703125" customWidth="1"/>
    <col min="97" max="97" width="10.28515625" customWidth="1"/>
  </cols>
  <sheetData>
    <row r="4" spans="4:97" x14ac:dyDescent="0.25">
      <c r="D4" s="5" t="s">
        <v>210</v>
      </c>
      <c r="E4" t="s">
        <v>203</v>
      </c>
      <c r="H4" s="5" t="s">
        <v>210</v>
      </c>
      <c r="I4" t="s">
        <v>203</v>
      </c>
      <c r="J4" t="s">
        <v>204</v>
      </c>
      <c r="K4" t="s">
        <v>332</v>
      </c>
      <c r="V4" s="5" t="s">
        <v>210</v>
      </c>
      <c r="W4" t="s">
        <v>203</v>
      </c>
      <c r="Z4">
        <v>1</v>
      </c>
      <c r="AA4">
        <f>COUNT(W:W)</f>
        <v>10</v>
      </c>
      <c r="AB4">
        <f>AA4-4</f>
        <v>6</v>
      </c>
      <c r="AC4">
        <f>MIN(AB4,Z4)</f>
        <v>1</v>
      </c>
      <c r="AO4" s="5" t="s">
        <v>210</v>
      </c>
      <c r="AP4" t="s">
        <v>203</v>
      </c>
      <c r="BZ4" s="5" t="s">
        <v>210</v>
      </c>
      <c r="CA4" t="s">
        <v>203</v>
      </c>
      <c r="CM4" s="5" t="s">
        <v>203</v>
      </c>
      <c r="CQ4" s="50" t="s">
        <v>52</v>
      </c>
      <c r="CR4" s="50" t="s">
        <v>220</v>
      </c>
      <c r="CS4" s="50" t="s">
        <v>53</v>
      </c>
    </row>
    <row r="5" spans="4:97" hidden="1" x14ac:dyDescent="0.25">
      <c r="D5" s="6" t="s">
        <v>86</v>
      </c>
      <c r="E5" s="42">
        <v>885</v>
      </c>
      <c r="F5" s="43" t="str">
        <f>INDEX(D5:D9,MATCH(MAX(E5:E9),E5:E9,0),1)</f>
        <v>Electronics</v>
      </c>
      <c r="H5" s="6" t="s">
        <v>290</v>
      </c>
      <c r="I5">
        <v>3440</v>
      </c>
      <c r="J5">
        <v>710</v>
      </c>
      <c r="K5" s="44">
        <f>J5/I5</f>
        <v>0.20639534883720931</v>
      </c>
      <c r="P5" s="44"/>
      <c r="V5" s="6" t="s">
        <v>70</v>
      </c>
      <c r="W5" s="46">
        <v>2435</v>
      </c>
      <c r="AO5" s="6" t="s">
        <v>107</v>
      </c>
      <c r="AP5" s="48">
        <v>7.9433497536945813E-2</v>
      </c>
      <c r="BA5" s="6" t="s">
        <v>86</v>
      </c>
      <c r="BB5" s="48">
        <v>0.10899014778325124</v>
      </c>
      <c r="BM5" s="5" t="s">
        <v>210</v>
      </c>
      <c r="BN5" t="s">
        <v>204</v>
      </c>
      <c r="BZ5" s="6" t="s">
        <v>160</v>
      </c>
      <c r="CA5" s="47">
        <v>1.2315270935960592E-2</v>
      </c>
      <c r="CM5" s="5" t="s">
        <v>52</v>
      </c>
      <c r="CN5" s="5" t="s">
        <v>220</v>
      </c>
      <c r="CO5" t="s">
        <v>333</v>
      </c>
      <c r="CQ5" s="8" t="s">
        <v>86</v>
      </c>
      <c r="CR5" s="51" t="s">
        <v>334</v>
      </c>
      <c r="CS5" s="46">
        <v>365</v>
      </c>
    </row>
    <row r="6" spans="4:97" x14ac:dyDescent="0.25">
      <c r="D6" s="6" t="s">
        <v>74</v>
      </c>
      <c r="E6" s="42">
        <v>5820</v>
      </c>
      <c r="F6" s="42">
        <f>MAX(E5:E9)</f>
        <v>5820</v>
      </c>
      <c r="H6" s="6" t="s">
        <v>291</v>
      </c>
      <c r="I6">
        <v>1125</v>
      </c>
      <c r="J6">
        <v>255</v>
      </c>
      <c r="K6" s="44">
        <f t="shared" ref="K6:K16" si="0">J6/I6</f>
        <v>0.22666666666666666</v>
      </c>
      <c r="P6" s="44"/>
      <c r="V6" s="6" t="s">
        <v>82</v>
      </c>
      <c r="W6" s="46">
        <v>500</v>
      </c>
      <c r="AO6" s="6" t="s">
        <v>88</v>
      </c>
      <c r="AP6" s="48">
        <v>0.35283251231527096</v>
      </c>
      <c r="BA6" s="6" t="s">
        <v>86</v>
      </c>
      <c r="BB6" s="48">
        <v>0.10899014778325124</v>
      </c>
      <c r="BM6" s="6" t="s">
        <v>212</v>
      </c>
      <c r="BZ6" s="6" t="s">
        <v>195</v>
      </c>
      <c r="CA6" s="47">
        <v>2.4630541871921183E-3</v>
      </c>
      <c r="CM6" t="s">
        <v>86</v>
      </c>
      <c r="CN6" t="s">
        <v>212</v>
      </c>
      <c r="CO6" s="46">
        <v>365</v>
      </c>
      <c r="CQ6" s="8" t="s">
        <v>86</v>
      </c>
      <c r="CR6" s="51" t="s">
        <v>335</v>
      </c>
      <c r="CS6" s="46">
        <v>260</v>
      </c>
    </row>
    <row r="7" spans="4:97" hidden="1" x14ac:dyDescent="0.25">
      <c r="D7" s="6" t="s">
        <v>123</v>
      </c>
      <c r="E7" s="42">
        <v>285</v>
      </c>
      <c r="H7" s="6" t="s">
        <v>327</v>
      </c>
      <c r="I7">
        <v>595</v>
      </c>
      <c r="J7">
        <v>145</v>
      </c>
      <c r="K7" s="44">
        <f t="shared" si="0"/>
        <v>0.24369747899159663</v>
      </c>
      <c r="P7" s="44"/>
      <c r="V7" s="6" t="s">
        <v>94</v>
      </c>
      <c r="W7" s="46">
        <v>1260</v>
      </c>
      <c r="AO7" s="6" t="s">
        <v>98</v>
      </c>
      <c r="AP7" s="48">
        <v>0.1539408866995074</v>
      </c>
      <c r="BA7" s="6" t="s">
        <v>74</v>
      </c>
      <c r="BB7" s="48">
        <v>0.71674876847290636</v>
      </c>
      <c r="BM7" s="7" t="s">
        <v>290</v>
      </c>
      <c r="BN7" s="46">
        <v>305</v>
      </c>
      <c r="BZ7" s="6" t="s">
        <v>193</v>
      </c>
      <c r="CA7" s="47">
        <v>9.852216748768473E-3</v>
      </c>
      <c r="CM7" t="s">
        <v>86</v>
      </c>
      <c r="CN7" t="s">
        <v>213</v>
      </c>
      <c r="CO7" s="46">
        <v>260</v>
      </c>
      <c r="CQ7" s="49" t="s">
        <v>86</v>
      </c>
      <c r="CR7" s="51" t="s">
        <v>337</v>
      </c>
      <c r="CS7" s="46">
        <v>260</v>
      </c>
    </row>
    <row r="8" spans="4:97" hidden="1" x14ac:dyDescent="0.25">
      <c r="D8" s="6" t="s">
        <v>136</v>
      </c>
      <c r="E8" s="42">
        <v>930</v>
      </c>
      <c r="H8" s="6" t="s">
        <v>293</v>
      </c>
      <c r="I8">
        <v>220</v>
      </c>
      <c r="J8">
        <v>68</v>
      </c>
      <c r="K8" s="44">
        <f t="shared" si="0"/>
        <v>0.30909090909090908</v>
      </c>
      <c r="P8" s="44"/>
      <c r="V8" s="6" t="s">
        <v>103</v>
      </c>
      <c r="W8" s="46">
        <v>260</v>
      </c>
      <c r="AC8" t="str">
        <f ca="1">OFFSET(V4,AC4,0,5)</f>
        <v>C004</v>
      </c>
      <c r="AD8">
        <f ca="1">OFFSET(W4,AD4,0,5)</f>
        <v>260</v>
      </c>
      <c r="AO8" s="6" t="s">
        <v>76</v>
      </c>
      <c r="AP8" s="48">
        <v>0.41379310344827586</v>
      </c>
      <c r="BA8" s="6" t="s">
        <v>123</v>
      </c>
      <c r="BB8" s="48">
        <v>3.5098522167487683E-2</v>
      </c>
      <c r="BM8" s="7" t="s">
        <v>291</v>
      </c>
      <c r="BN8" s="46">
        <v>55</v>
      </c>
      <c r="BZ8" s="6" t="s">
        <v>140</v>
      </c>
      <c r="CA8" s="47">
        <v>1.1083743842364532E-2</v>
      </c>
      <c r="CM8" t="s">
        <v>86</v>
      </c>
      <c r="CN8" t="s">
        <v>214</v>
      </c>
      <c r="CO8" s="46">
        <v>260</v>
      </c>
      <c r="CQ8" s="8" t="s">
        <v>74</v>
      </c>
      <c r="CR8" s="51" t="s">
        <v>334</v>
      </c>
      <c r="CS8" s="46">
        <v>2130</v>
      </c>
    </row>
    <row r="9" spans="4:97" x14ac:dyDescent="0.25">
      <c r="D9" s="6" t="s">
        <v>189</v>
      </c>
      <c r="E9" s="42">
        <v>200</v>
      </c>
      <c r="H9" s="6" t="s">
        <v>328</v>
      </c>
      <c r="I9">
        <v>210</v>
      </c>
      <c r="J9">
        <v>53</v>
      </c>
      <c r="K9" s="44">
        <f t="shared" si="0"/>
        <v>0.25238095238095237</v>
      </c>
      <c r="P9" s="44"/>
      <c r="V9" s="6" t="s">
        <v>112</v>
      </c>
      <c r="W9" s="46">
        <v>360</v>
      </c>
      <c r="AC9" t="str">
        <f t="shared" ref="AC9:AD9" ca="1" si="1">OFFSET(V5,AC5,0,5)</f>
        <v>C005</v>
      </c>
      <c r="AD9">
        <f t="shared" ca="1" si="1"/>
        <v>360</v>
      </c>
      <c r="BA9" s="6" t="s">
        <v>136</v>
      </c>
      <c r="BB9" s="48">
        <v>0.1145320197044335</v>
      </c>
      <c r="BM9" s="7" t="s">
        <v>327</v>
      </c>
      <c r="BN9" s="46">
        <v>70</v>
      </c>
      <c r="BZ9" s="6" t="s">
        <v>172</v>
      </c>
      <c r="CA9" s="47">
        <v>1.3546798029556651E-2</v>
      </c>
      <c r="CM9" t="s">
        <v>74</v>
      </c>
      <c r="CN9" t="s">
        <v>212</v>
      </c>
      <c r="CO9" s="46">
        <v>2130</v>
      </c>
      <c r="CQ9" s="8" t="s">
        <v>74</v>
      </c>
      <c r="CR9" s="51" t="s">
        <v>336</v>
      </c>
      <c r="CS9" s="46">
        <v>1590</v>
      </c>
    </row>
    <row r="10" spans="4:97" hidden="1" x14ac:dyDescent="0.25">
      <c r="H10" s="6" t="s">
        <v>292</v>
      </c>
      <c r="I10">
        <v>490</v>
      </c>
      <c r="J10">
        <v>115</v>
      </c>
      <c r="K10" s="44">
        <f t="shared" si="0"/>
        <v>0.23469387755102042</v>
      </c>
      <c r="P10" s="44"/>
      <c r="V10" s="6" t="s">
        <v>120</v>
      </c>
      <c r="W10" s="46">
        <v>1925</v>
      </c>
      <c r="AC10" t="str">
        <f t="shared" ref="AC10:AD10" ca="1" si="2">OFFSET(V6,AC6,0,5)</f>
        <v>C006</v>
      </c>
      <c r="AD10">
        <f t="shared" ca="1" si="2"/>
        <v>1925</v>
      </c>
      <c r="BA10" s="6" t="s">
        <v>136</v>
      </c>
      <c r="BM10" s="7" t="s">
        <v>293</v>
      </c>
      <c r="BN10" s="46">
        <v>25</v>
      </c>
      <c r="BZ10" s="6" t="s">
        <v>188</v>
      </c>
      <c r="CA10" s="47">
        <v>2.4630541871921183E-2</v>
      </c>
      <c r="CM10" t="s">
        <v>74</v>
      </c>
      <c r="CN10" t="s">
        <v>213</v>
      </c>
      <c r="CO10" s="46">
        <v>1590</v>
      </c>
      <c r="CQ10" s="49" t="s">
        <v>74</v>
      </c>
      <c r="CR10" s="51" t="s">
        <v>337</v>
      </c>
      <c r="CS10" s="46">
        <v>2100</v>
      </c>
    </row>
    <row r="11" spans="4:97" hidden="1" x14ac:dyDescent="0.25">
      <c r="H11" s="6" t="s">
        <v>330</v>
      </c>
      <c r="I11">
        <v>270</v>
      </c>
      <c r="J11">
        <v>77</v>
      </c>
      <c r="K11" s="44">
        <f t="shared" si="0"/>
        <v>0.28518518518518521</v>
      </c>
      <c r="P11" s="44"/>
      <c r="V11" s="6" t="s">
        <v>127</v>
      </c>
      <c r="W11" s="46">
        <v>575</v>
      </c>
      <c r="AC11" t="str">
        <f t="shared" ref="AC11:AD11" ca="1" si="3">OFFSET(V7,AC7,0,5)</f>
        <v>C007</v>
      </c>
      <c r="AD11">
        <f t="shared" ca="1" si="3"/>
        <v>575</v>
      </c>
      <c r="BA11" s="6" t="s">
        <v>136</v>
      </c>
      <c r="BM11" s="7" t="s">
        <v>328</v>
      </c>
      <c r="BN11" s="46">
        <v>3</v>
      </c>
      <c r="BZ11" s="6" t="s">
        <v>174</v>
      </c>
      <c r="CA11" s="47">
        <v>6.1576354679802959E-3</v>
      </c>
      <c r="CM11" t="s">
        <v>74</v>
      </c>
      <c r="CN11" t="s">
        <v>214</v>
      </c>
      <c r="CO11" s="46">
        <v>2100</v>
      </c>
      <c r="CQ11" s="8" t="s">
        <v>123</v>
      </c>
      <c r="CR11" s="51" t="s">
        <v>334</v>
      </c>
      <c r="CS11" s="46">
        <v>80</v>
      </c>
    </row>
    <row r="12" spans="4:97" x14ac:dyDescent="0.25">
      <c r="H12" s="6" t="s">
        <v>294</v>
      </c>
      <c r="I12">
        <v>330</v>
      </c>
      <c r="J12">
        <v>83</v>
      </c>
      <c r="K12" s="44">
        <f t="shared" si="0"/>
        <v>0.25151515151515152</v>
      </c>
      <c r="P12" s="44"/>
      <c r="V12" s="6" t="s">
        <v>133</v>
      </c>
      <c r="W12" s="46">
        <v>350</v>
      </c>
      <c r="BA12" s="6" t="s">
        <v>123</v>
      </c>
      <c r="BB12" s="48">
        <v>0.04</v>
      </c>
      <c r="BM12" s="7" t="s">
        <v>292</v>
      </c>
      <c r="BN12" s="46">
        <v>50</v>
      </c>
      <c r="BZ12" s="6" t="s">
        <v>135</v>
      </c>
      <c r="CA12" s="47">
        <v>8.6206896551724137E-3</v>
      </c>
      <c r="CM12" t="s">
        <v>123</v>
      </c>
      <c r="CN12" t="s">
        <v>212</v>
      </c>
      <c r="CO12" s="46">
        <v>80</v>
      </c>
      <c r="CQ12" s="49" t="s">
        <v>123</v>
      </c>
      <c r="CR12" s="51" t="s">
        <v>336</v>
      </c>
      <c r="CS12" s="46">
        <v>205</v>
      </c>
    </row>
    <row r="13" spans="4:97" hidden="1" x14ac:dyDescent="0.25">
      <c r="H13" s="6" t="s">
        <v>329</v>
      </c>
      <c r="I13">
        <v>260</v>
      </c>
      <c r="J13">
        <v>90</v>
      </c>
      <c r="K13" s="44">
        <f t="shared" si="0"/>
        <v>0.34615384615384615</v>
      </c>
      <c r="P13" s="44"/>
      <c r="V13" s="6" t="s">
        <v>138</v>
      </c>
      <c r="W13" s="46">
        <v>260</v>
      </c>
      <c r="BA13" s="6" t="s">
        <v>136</v>
      </c>
      <c r="BM13" s="7" t="s">
        <v>330</v>
      </c>
      <c r="BN13" s="46">
        <v>45</v>
      </c>
      <c r="BZ13" s="6" t="s">
        <v>146</v>
      </c>
      <c r="CA13" s="47">
        <v>4.3103448275862068E-3</v>
      </c>
      <c r="CM13" t="s">
        <v>123</v>
      </c>
      <c r="CN13" t="s">
        <v>213</v>
      </c>
      <c r="CO13" s="46">
        <v>205</v>
      </c>
      <c r="CQ13" s="8" t="s">
        <v>136</v>
      </c>
      <c r="CR13" s="51" t="s">
        <v>334</v>
      </c>
      <c r="CS13" s="46">
        <v>195</v>
      </c>
    </row>
    <row r="14" spans="4:97" x14ac:dyDescent="0.25">
      <c r="H14" s="6" t="s">
        <v>295</v>
      </c>
      <c r="I14">
        <v>880</v>
      </c>
      <c r="J14">
        <v>176</v>
      </c>
      <c r="K14" s="44">
        <f t="shared" si="0"/>
        <v>0.2</v>
      </c>
      <c r="P14" s="44"/>
      <c r="V14" s="6" t="s">
        <v>144</v>
      </c>
      <c r="W14" s="46">
        <v>195</v>
      </c>
      <c r="BA14" s="6" t="s">
        <v>136</v>
      </c>
      <c r="BB14" s="48">
        <v>0.11</v>
      </c>
      <c r="BM14" s="7" t="s">
        <v>294</v>
      </c>
      <c r="BN14" s="46">
        <v>18</v>
      </c>
      <c r="BZ14" s="6" t="s">
        <v>114</v>
      </c>
      <c r="CA14" s="47">
        <v>1.2315270935960592E-2</v>
      </c>
      <c r="CM14" t="s">
        <v>136</v>
      </c>
      <c r="CN14" t="s">
        <v>212</v>
      </c>
      <c r="CO14" s="46">
        <v>195</v>
      </c>
      <c r="CQ14" s="8" t="s">
        <v>136</v>
      </c>
      <c r="CR14" s="51" t="s">
        <v>336</v>
      </c>
      <c r="CS14" s="46">
        <v>500</v>
      </c>
    </row>
    <row r="15" spans="4:97" hidden="1" x14ac:dyDescent="0.25">
      <c r="H15" s="6" t="s">
        <v>331</v>
      </c>
      <c r="I15">
        <v>170</v>
      </c>
      <c r="J15">
        <v>53</v>
      </c>
      <c r="K15" s="44">
        <f t="shared" si="0"/>
        <v>0.31176470588235294</v>
      </c>
      <c r="P15" s="44"/>
      <c r="BM15" s="7" t="s">
        <v>329</v>
      </c>
      <c r="BN15" s="46">
        <v>22</v>
      </c>
      <c r="BZ15" s="6" t="s">
        <v>186</v>
      </c>
      <c r="CA15" s="47">
        <v>1.2315270935960592E-2</v>
      </c>
      <c r="CM15" t="s">
        <v>136</v>
      </c>
      <c r="CN15" t="s">
        <v>213</v>
      </c>
      <c r="CO15" s="46">
        <v>500</v>
      </c>
      <c r="CQ15" s="49" t="s">
        <v>136</v>
      </c>
      <c r="CR15" s="51" t="s">
        <v>337</v>
      </c>
      <c r="CS15" s="46">
        <v>235</v>
      </c>
    </row>
    <row r="16" spans="4:97" hidden="1" x14ac:dyDescent="0.25">
      <c r="H16" s="6" t="s">
        <v>296</v>
      </c>
      <c r="I16">
        <v>130</v>
      </c>
      <c r="J16">
        <v>40</v>
      </c>
      <c r="K16" s="44">
        <f t="shared" si="0"/>
        <v>0.30769230769230771</v>
      </c>
      <c r="P16" s="44"/>
      <c r="BM16" s="7" t="s">
        <v>295</v>
      </c>
      <c r="BN16" s="46">
        <v>16</v>
      </c>
      <c r="BZ16" s="6" t="s">
        <v>142</v>
      </c>
      <c r="CA16" s="47">
        <v>9.852216748768473E-3</v>
      </c>
      <c r="CM16" t="s">
        <v>136</v>
      </c>
      <c r="CN16" t="s">
        <v>214</v>
      </c>
      <c r="CO16" s="46">
        <v>235</v>
      </c>
      <c r="CQ16" s="49" t="s">
        <v>189</v>
      </c>
      <c r="CR16" s="51" t="s">
        <v>337</v>
      </c>
      <c r="CS16" s="46">
        <v>200</v>
      </c>
    </row>
    <row r="17" spans="10:93" x14ac:dyDescent="0.25">
      <c r="AX17" s="6"/>
      <c r="AY17" s="48"/>
      <c r="BA17" s="6"/>
      <c r="BB17" s="48"/>
      <c r="BM17" s="7" t="s">
        <v>331</v>
      </c>
      <c r="BN17" s="46">
        <v>8</v>
      </c>
      <c r="BZ17" s="6" t="s">
        <v>156</v>
      </c>
      <c r="CA17" s="47">
        <v>1.4778325123152709E-2</v>
      </c>
      <c r="CM17" t="s">
        <v>189</v>
      </c>
      <c r="CN17" t="s">
        <v>214</v>
      </c>
      <c r="CO17" s="46">
        <v>200</v>
      </c>
    </row>
    <row r="18" spans="10:93" x14ac:dyDescent="0.25">
      <c r="AX18" s="6"/>
      <c r="AY18" s="48"/>
      <c r="BA18" s="6"/>
      <c r="BB18" s="48"/>
      <c r="BM18" s="7" t="s">
        <v>296</v>
      </c>
      <c r="BN18" s="46">
        <v>15</v>
      </c>
      <c r="BZ18" s="6" t="s">
        <v>166</v>
      </c>
      <c r="CA18" s="47">
        <v>2.2167487684729065E-2</v>
      </c>
    </row>
    <row r="19" spans="10:93" x14ac:dyDescent="0.25">
      <c r="AX19" s="6"/>
      <c r="AY19" s="48"/>
      <c r="BA19" s="6"/>
      <c r="BB19" s="48"/>
      <c r="BM19" s="6" t="s">
        <v>213</v>
      </c>
      <c r="BN19" s="46"/>
      <c r="BZ19" s="6" t="s">
        <v>197</v>
      </c>
      <c r="CA19" s="47">
        <v>5.5418719211822662E-2</v>
      </c>
    </row>
    <row r="20" spans="10:93" x14ac:dyDescent="0.25">
      <c r="AX20" s="6"/>
      <c r="AY20" s="48"/>
      <c r="BA20" s="6"/>
      <c r="BB20" s="48"/>
      <c r="BM20" s="7" t="s">
        <v>290</v>
      </c>
      <c r="BN20" s="46">
        <v>110</v>
      </c>
      <c r="BZ20" s="6" t="s">
        <v>96</v>
      </c>
      <c r="CA20" s="47">
        <v>1.8472906403940888E-2</v>
      </c>
    </row>
    <row r="21" spans="10:93" x14ac:dyDescent="0.25">
      <c r="BM21" s="7" t="s">
        <v>291</v>
      </c>
      <c r="BN21" s="46">
        <v>160</v>
      </c>
      <c r="BZ21" s="6" t="s">
        <v>131</v>
      </c>
      <c r="CA21" s="47">
        <v>1.4778325123152709E-2</v>
      </c>
    </row>
    <row r="22" spans="10:93" x14ac:dyDescent="0.25">
      <c r="J22" s="45"/>
      <c r="BM22" s="7" t="s">
        <v>327</v>
      </c>
      <c r="BN22" s="46">
        <v>25</v>
      </c>
      <c r="BZ22" s="6" t="s">
        <v>105</v>
      </c>
      <c r="CA22" s="47">
        <v>7.3891625615763543E-3</v>
      </c>
    </row>
    <row r="23" spans="10:93" x14ac:dyDescent="0.25">
      <c r="BM23" s="7" t="s">
        <v>293</v>
      </c>
      <c r="BN23" s="46">
        <v>28</v>
      </c>
      <c r="BZ23" s="6" t="s">
        <v>110</v>
      </c>
      <c r="CA23" s="47">
        <v>9.2364532019704442E-3</v>
      </c>
    </row>
    <row r="24" spans="10:93" x14ac:dyDescent="0.25">
      <c r="BM24" s="7" t="s">
        <v>328</v>
      </c>
      <c r="BN24" s="46">
        <v>30</v>
      </c>
      <c r="BZ24" s="6" t="s">
        <v>73</v>
      </c>
      <c r="CA24" s="47">
        <v>0.14778325123152711</v>
      </c>
    </row>
    <row r="25" spans="10:93" x14ac:dyDescent="0.25">
      <c r="BM25" s="7" t="s">
        <v>292</v>
      </c>
      <c r="BN25" s="46">
        <v>15</v>
      </c>
      <c r="BZ25" s="6" t="s">
        <v>116</v>
      </c>
      <c r="CA25" s="47">
        <v>3.6945812807881777E-2</v>
      </c>
    </row>
    <row r="26" spans="10:93" x14ac:dyDescent="0.25">
      <c r="BM26" s="7" t="s">
        <v>330</v>
      </c>
      <c r="BN26" s="46">
        <v>20</v>
      </c>
      <c r="BZ26" s="6" t="s">
        <v>102</v>
      </c>
      <c r="CA26" s="47">
        <v>3.6945812807881772E-3</v>
      </c>
    </row>
    <row r="27" spans="10:93" x14ac:dyDescent="0.25">
      <c r="BM27" s="7" t="s">
        <v>294</v>
      </c>
      <c r="BN27" s="46">
        <v>40</v>
      </c>
      <c r="BZ27" s="6" t="s">
        <v>176</v>
      </c>
      <c r="CA27" s="47">
        <v>0.16009852216748768</v>
      </c>
    </row>
    <row r="28" spans="10:93" x14ac:dyDescent="0.25">
      <c r="BM28" s="7" t="s">
        <v>329</v>
      </c>
      <c r="BN28" s="46">
        <v>60</v>
      </c>
      <c r="BZ28" s="6" t="s">
        <v>184</v>
      </c>
      <c r="CA28" s="47">
        <v>8.6206896551724137E-3</v>
      </c>
    </row>
    <row r="29" spans="10:93" x14ac:dyDescent="0.25">
      <c r="BM29" s="7" t="s">
        <v>295</v>
      </c>
      <c r="BN29" s="46">
        <v>70</v>
      </c>
      <c r="BZ29" s="6" t="s">
        <v>170</v>
      </c>
      <c r="CA29" s="47">
        <v>4.3103448275862072E-2</v>
      </c>
    </row>
    <row r="30" spans="10:93" x14ac:dyDescent="0.25">
      <c r="BM30" s="7" t="s">
        <v>331</v>
      </c>
      <c r="BN30" s="46">
        <v>35</v>
      </c>
      <c r="BZ30" s="6" t="s">
        <v>152</v>
      </c>
      <c r="CA30" s="47">
        <v>1.1699507389162561E-2</v>
      </c>
    </row>
    <row r="31" spans="10:93" x14ac:dyDescent="0.25">
      <c r="BM31" s="7" t="s">
        <v>296</v>
      </c>
      <c r="BN31" s="46">
        <v>15</v>
      </c>
      <c r="BZ31" s="6" t="s">
        <v>162</v>
      </c>
      <c r="CA31" s="47">
        <v>4.9261083743842365E-3</v>
      </c>
    </row>
    <row r="32" spans="10:93" x14ac:dyDescent="0.25">
      <c r="BM32" s="6" t="s">
        <v>214</v>
      </c>
      <c r="BN32" s="46"/>
      <c r="BZ32" s="6" t="s">
        <v>199</v>
      </c>
      <c r="CA32" s="47">
        <v>3.0788177339901479E-3</v>
      </c>
    </row>
    <row r="33" spans="14:79" x14ac:dyDescent="0.25">
      <c r="BM33" s="7" t="s">
        <v>290</v>
      </c>
      <c r="BN33" s="46">
        <v>295</v>
      </c>
      <c r="BZ33" s="6" t="s">
        <v>191</v>
      </c>
      <c r="CA33" s="47">
        <v>7.3891625615763543E-3</v>
      </c>
    </row>
    <row r="34" spans="14:79" x14ac:dyDescent="0.25">
      <c r="BM34" s="7" t="s">
        <v>291</v>
      </c>
      <c r="BN34" s="46">
        <v>40</v>
      </c>
      <c r="BZ34" s="6" t="s">
        <v>164</v>
      </c>
      <c r="CA34" s="47">
        <v>1.1083743842364532E-2</v>
      </c>
    </row>
    <row r="35" spans="14:79" x14ac:dyDescent="0.25">
      <c r="BM35" s="7" t="s">
        <v>327</v>
      </c>
      <c r="BN35" s="46">
        <v>50</v>
      </c>
      <c r="BZ35" s="6" t="s">
        <v>180</v>
      </c>
      <c r="CA35" s="47">
        <v>1.8472906403940888E-2</v>
      </c>
    </row>
    <row r="36" spans="14:79" x14ac:dyDescent="0.25">
      <c r="N36" s="42"/>
      <c r="BM36" s="7" t="s">
        <v>293</v>
      </c>
      <c r="BN36" s="46">
        <v>15</v>
      </c>
      <c r="BZ36" s="6" t="s">
        <v>154</v>
      </c>
      <c r="CA36" s="47">
        <v>9.8522167487684734E-2</v>
      </c>
    </row>
    <row r="37" spans="14:79" x14ac:dyDescent="0.25">
      <c r="BM37" s="7" t="s">
        <v>328</v>
      </c>
      <c r="BN37" s="46">
        <v>20</v>
      </c>
      <c r="BZ37" s="6" t="s">
        <v>129</v>
      </c>
      <c r="CA37" s="47">
        <v>3.0788177339901478E-2</v>
      </c>
    </row>
    <row r="38" spans="14:79" x14ac:dyDescent="0.25">
      <c r="BM38" s="7" t="s">
        <v>292</v>
      </c>
      <c r="BN38" s="46">
        <v>50</v>
      </c>
      <c r="BZ38" s="6" t="s">
        <v>122</v>
      </c>
      <c r="CA38" s="47">
        <v>9.852216748768473E-3</v>
      </c>
    </row>
    <row r="39" spans="14:79" x14ac:dyDescent="0.25">
      <c r="BM39" s="7" t="s">
        <v>330</v>
      </c>
      <c r="BN39" s="46">
        <v>12</v>
      </c>
      <c r="BZ39" s="6" t="s">
        <v>125</v>
      </c>
      <c r="CA39" s="47">
        <v>1.2315270935960591E-3</v>
      </c>
    </row>
    <row r="40" spans="14:79" x14ac:dyDescent="0.25">
      <c r="BM40" s="7" t="s">
        <v>294</v>
      </c>
      <c r="BN40" s="46">
        <v>25</v>
      </c>
      <c r="BZ40" s="6" t="s">
        <v>182</v>
      </c>
      <c r="CA40" s="47">
        <v>1.600985221674877E-2</v>
      </c>
    </row>
    <row r="41" spans="14:79" x14ac:dyDescent="0.25">
      <c r="BM41" s="7" t="s">
        <v>329</v>
      </c>
      <c r="BN41" s="46">
        <v>8</v>
      </c>
      <c r="BZ41" s="6" t="s">
        <v>158</v>
      </c>
      <c r="CA41" s="47">
        <v>8.6206896551724137E-3</v>
      </c>
    </row>
    <row r="42" spans="14:79" x14ac:dyDescent="0.25">
      <c r="BM42" s="7" t="s">
        <v>295</v>
      </c>
      <c r="BN42" s="46">
        <v>90</v>
      </c>
      <c r="BZ42" s="6" t="s">
        <v>148</v>
      </c>
      <c r="CA42" s="47">
        <v>6.1576354679802959E-3</v>
      </c>
    </row>
    <row r="43" spans="14:79" x14ac:dyDescent="0.25">
      <c r="BM43" s="7" t="s">
        <v>331</v>
      </c>
      <c r="BN43" s="46">
        <v>10</v>
      </c>
      <c r="BZ43" s="6" t="s">
        <v>150</v>
      </c>
      <c r="CA43" s="47">
        <v>4.9261083743842367E-2</v>
      </c>
    </row>
    <row r="44" spans="14:79" x14ac:dyDescent="0.25">
      <c r="BM44" s="7" t="s">
        <v>296</v>
      </c>
      <c r="BN44" s="46">
        <v>10</v>
      </c>
      <c r="BZ44" s="6" t="s">
        <v>85</v>
      </c>
      <c r="CA44" s="47">
        <v>3.0788177339901479E-3</v>
      </c>
    </row>
    <row r="45" spans="14:79" x14ac:dyDescent="0.25">
      <c r="BZ45" s="6" t="s">
        <v>118</v>
      </c>
      <c r="CA45" s="47">
        <v>5.5418719211822662E-3</v>
      </c>
    </row>
    <row r="46" spans="14:79" x14ac:dyDescent="0.25">
      <c r="BZ46" s="6" t="s">
        <v>168</v>
      </c>
      <c r="CA46" s="47">
        <v>1.8472906403940888E-2</v>
      </c>
    </row>
    <row r="47" spans="14:79" x14ac:dyDescent="0.25">
      <c r="BZ47" s="6" t="s">
        <v>201</v>
      </c>
      <c r="CA47" s="47">
        <v>3.6945812807881772E-3</v>
      </c>
    </row>
    <row r="48" spans="14:79" x14ac:dyDescent="0.25">
      <c r="BZ48" s="6" t="s">
        <v>178</v>
      </c>
      <c r="CA48" s="47">
        <v>2.2167487684729065E-2</v>
      </c>
    </row>
  </sheetData>
  <phoneticPr fontId="7" type="noConversion"/>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14370" r:id="rId10" name="Scroll Bar 34">
              <controlPr defaultSize="0" autoPict="0">
                <anchor moveWithCells="1">
                  <from>
                    <xdr:col>23</xdr:col>
                    <xdr:colOff>409575</xdr:colOff>
                    <xdr:row>4</xdr:row>
                    <xdr:rowOff>95250</xdr:rowOff>
                  </from>
                  <to>
                    <xdr:col>24</xdr:col>
                    <xdr:colOff>38100</xdr:colOff>
                    <xdr:row>20</xdr:row>
                    <xdr:rowOff>76200</xdr:rowOff>
                  </to>
                </anchor>
              </controlPr>
            </control>
          </mc:Choice>
        </mc:AlternateContent>
      </controls>
    </mc:Choice>
  </mc:AlternateContent>
  <tableParts count="1">
    <tablePart r:id="rId11"/>
  </tableParts>
  <extLst>
    <ext xmlns:x14="http://schemas.microsoft.com/office/spreadsheetml/2009/9/main" uri="{A8765BA9-456A-4dab-B4F3-ACF838C121DE}">
      <x14:slicerList>
        <x14:slicer r:id="rId12"/>
      </x14:slicerList>
    </ext>
    <ext xmlns:x15="http://schemas.microsoft.com/office/spreadsheetml/2010/11/main" uri="{3A4CF648-6AED-40f4-86FF-DC5316D8AED3}">
      <x14:slicerList xmlns:x14="http://schemas.microsoft.com/office/spreadsheetml/2009/9/main">
        <x14:slicer r:id="rId13"/>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C6C7C-7BFA-4F96-96EA-C00EE1C81208}">
  <dimension ref="Z4:AA18"/>
  <sheetViews>
    <sheetView topLeftCell="A4" zoomScaleNormal="100" workbookViewId="0">
      <selection activeCell="AB12" sqref="AB12"/>
    </sheetView>
  </sheetViews>
  <sheetFormatPr defaultRowHeight="15" x14ac:dyDescent="0.25"/>
  <sheetData>
    <row r="4" spans="26:27" x14ac:dyDescent="0.25">
      <c r="Z4">
        <v>1</v>
      </c>
    </row>
    <row r="9" spans="26:27" ht="31.5" x14ac:dyDescent="0.6">
      <c r="Z9" s="53"/>
      <c r="AA9" s="53"/>
    </row>
    <row r="10" spans="26:27" x14ac:dyDescent="0.25">
      <c r="Z10" s="52"/>
      <c r="AA10" s="52"/>
    </row>
    <row r="11" spans="26:27" x14ac:dyDescent="0.25">
      <c r="Z11" s="52"/>
      <c r="AA11" s="52"/>
    </row>
    <row r="17" spans="26:27" ht="31.5" x14ac:dyDescent="0.6">
      <c r="Z17" s="53"/>
      <c r="AA17" s="52"/>
    </row>
    <row r="18" spans="26:27" ht="31.5" x14ac:dyDescent="0.6">
      <c r="Z18" s="53"/>
      <c r="AA18" s="5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9" r:id="rId3" name="Scroll Bar 3">
              <controlPr defaultSize="0" autoPict="0">
                <anchor moveWithCells="1">
                  <from>
                    <xdr:col>11</xdr:col>
                    <xdr:colOff>400050</xdr:colOff>
                    <xdr:row>17</xdr:row>
                    <xdr:rowOff>38100</xdr:rowOff>
                  </from>
                  <to>
                    <xdr:col>12</xdr:col>
                    <xdr:colOff>28575</xdr:colOff>
                    <xdr:row>24</xdr:row>
                    <xdr:rowOff>95250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Raw Data</vt:lpstr>
      <vt:lpstr>Clean Data Table</vt:lpstr>
      <vt:lpstr>Pivot Tables</vt:lpstr>
      <vt:lpstr>IF'S</vt:lpstr>
      <vt:lpstr>LOOKUPS</vt:lpstr>
      <vt:lpstr>Statistical Analysis</vt:lpstr>
      <vt:lpstr>Forecast Sheet</vt:lpstr>
      <vt:lpstr>Macro</vt:lpstr>
      <vt:lpstr>VBA Code</vt:lpstr>
      <vt:lpstr>Pivot for Dashboard</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PARVES ALI</dc:creator>
  <cp:lastModifiedBy>MD. PARVES ALI</cp:lastModifiedBy>
  <cp:lastPrinted>2025-07-23T18:40:01Z</cp:lastPrinted>
  <dcterms:created xsi:type="dcterms:W3CDTF">2025-07-20T20:22:52Z</dcterms:created>
  <dcterms:modified xsi:type="dcterms:W3CDTF">2025-07-26T16:37:19Z</dcterms:modified>
</cp:coreProperties>
</file>